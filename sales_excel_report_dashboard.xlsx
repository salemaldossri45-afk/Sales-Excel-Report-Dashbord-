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8A4FE51-F923-4318-80ED-CFB08548E4E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Excel Report" sheetId="4" r:id="rId2"/>
    <sheet name="Dashboard" sheetId="3" r:id="rId3"/>
  </sheet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J151" i="1" l="1"/>
  <c r="L151" i="1" s="1"/>
  <c r="M151" i="1" s="1"/>
  <c r="J150" i="1"/>
  <c r="L150" i="1" s="1"/>
  <c r="M150" i="1" s="1"/>
  <c r="L149" i="1"/>
  <c r="M149" i="1" s="1"/>
  <c r="J149" i="1"/>
  <c r="L148" i="1"/>
  <c r="M148" i="1" s="1"/>
  <c r="J148" i="1"/>
  <c r="J147" i="1"/>
  <c r="L147" i="1" s="1"/>
  <c r="M147" i="1" s="1"/>
  <c r="J146" i="1"/>
  <c r="L146" i="1" s="1"/>
  <c r="M146" i="1" s="1"/>
  <c r="L145" i="1"/>
  <c r="M145" i="1" s="1"/>
  <c r="J145" i="1"/>
  <c r="L144" i="1"/>
  <c r="M144" i="1" s="1"/>
  <c r="J144" i="1"/>
  <c r="J143" i="1"/>
  <c r="L143" i="1" s="1"/>
  <c r="M143" i="1" s="1"/>
  <c r="J142" i="1"/>
  <c r="L142" i="1" s="1"/>
  <c r="M142" i="1" s="1"/>
  <c r="L141" i="1"/>
  <c r="M141" i="1" s="1"/>
  <c r="J141" i="1"/>
  <c r="L140" i="1"/>
  <c r="M140" i="1" s="1"/>
  <c r="J140" i="1"/>
  <c r="J139" i="1"/>
  <c r="L139" i="1" s="1"/>
  <c r="M139" i="1" s="1"/>
  <c r="J138" i="1"/>
  <c r="L138" i="1" s="1"/>
  <c r="M138" i="1" s="1"/>
  <c r="L137" i="1"/>
  <c r="M137" i="1" s="1"/>
  <c r="J137" i="1"/>
  <c r="L136" i="1"/>
  <c r="M136" i="1" s="1"/>
  <c r="J136" i="1"/>
  <c r="J135" i="1"/>
  <c r="L135" i="1" s="1"/>
  <c r="M135" i="1" s="1"/>
  <c r="J134" i="1"/>
  <c r="L134" i="1" s="1"/>
  <c r="M134" i="1" s="1"/>
  <c r="L133" i="1"/>
  <c r="M133" i="1" s="1"/>
  <c r="J133" i="1"/>
  <c r="L132" i="1"/>
  <c r="M132" i="1" s="1"/>
  <c r="J132" i="1"/>
  <c r="J131" i="1"/>
  <c r="L131" i="1" s="1"/>
  <c r="M131" i="1" s="1"/>
  <c r="J130" i="1"/>
  <c r="L130" i="1" s="1"/>
  <c r="M130" i="1" s="1"/>
  <c r="L129" i="1"/>
  <c r="M129" i="1" s="1"/>
  <c r="J129" i="1"/>
  <c r="L128" i="1"/>
  <c r="M128" i="1" s="1"/>
  <c r="J128" i="1"/>
  <c r="J127" i="1"/>
  <c r="L127" i="1" s="1"/>
  <c r="M127" i="1" s="1"/>
  <c r="J126" i="1"/>
  <c r="L126" i="1" s="1"/>
  <c r="M126" i="1" s="1"/>
  <c r="L125" i="1"/>
  <c r="M125" i="1" s="1"/>
  <c r="J125" i="1"/>
  <c r="L124" i="1"/>
  <c r="M124" i="1" s="1"/>
  <c r="J124" i="1"/>
  <c r="J123" i="1"/>
  <c r="L123" i="1" s="1"/>
  <c r="M123" i="1" s="1"/>
  <c r="J122" i="1"/>
  <c r="L122" i="1" s="1"/>
  <c r="M122" i="1" s="1"/>
  <c r="L121" i="1"/>
  <c r="M121" i="1" s="1"/>
  <c r="J121" i="1"/>
  <c r="L120" i="1"/>
  <c r="M120" i="1" s="1"/>
  <c r="J120" i="1"/>
  <c r="J119" i="1"/>
  <c r="L119" i="1" s="1"/>
  <c r="M119" i="1" s="1"/>
  <c r="J118" i="1"/>
  <c r="L118" i="1" s="1"/>
  <c r="M118" i="1" s="1"/>
  <c r="L117" i="1"/>
  <c r="M117" i="1" s="1"/>
  <c r="J117" i="1"/>
  <c r="L116" i="1"/>
  <c r="M116" i="1" s="1"/>
  <c r="J116" i="1"/>
  <c r="J115" i="1"/>
  <c r="L115" i="1" s="1"/>
  <c r="M115" i="1" s="1"/>
  <c r="J114" i="1"/>
  <c r="L114" i="1" s="1"/>
  <c r="M114" i="1" s="1"/>
  <c r="L113" i="1"/>
  <c r="M113" i="1" s="1"/>
  <c r="J113" i="1"/>
  <c r="L112" i="1"/>
  <c r="M112" i="1" s="1"/>
  <c r="J112" i="1"/>
  <c r="J111" i="1"/>
  <c r="L111" i="1" s="1"/>
  <c r="M111" i="1" s="1"/>
  <c r="J110" i="1"/>
  <c r="L110" i="1" s="1"/>
  <c r="M110" i="1" s="1"/>
  <c r="L109" i="1"/>
  <c r="M109" i="1" s="1"/>
  <c r="J109" i="1"/>
  <c r="L108" i="1"/>
  <c r="M108" i="1" s="1"/>
  <c r="J108" i="1"/>
  <c r="J107" i="1"/>
  <c r="L107" i="1" s="1"/>
  <c r="M107" i="1" s="1"/>
  <c r="J106" i="1"/>
  <c r="L106" i="1" s="1"/>
  <c r="M106" i="1" s="1"/>
  <c r="L105" i="1"/>
  <c r="M105" i="1" s="1"/>
  <c r="J105" i="1"/>
  <c r="L104" i="1"/>
  <c r="M104" i="1" s="1"/>
  <c r="J104" i="1"/>
  <c r="J103" i="1"/>
  <c r="L103" i="1" s="1"/>
  <c r="M103" i="1" s="1"/>
  <c r="J102" i="1"/>
  <c r="L102" i="1" s="1"/>
  <c r="M102" i="1" s="1"/>
  <c r="L101" i="1"/>
  <c r="M101" i="1" s="1"/>
  <c r="J101" i="1"/>
  <c r="L100" i="1"/>
  <c r="M100" i="1" s="1"/>
  <c r="J100" i="1"/>
  <c r="J99" i="1"/>
  <c r="L99" i="1" s="1"/>
  <c r="M99" i="1" s="1"/>
  <c r="J98" i="1"/>
  <c r="L98" i="1" s="1"/>
  <c r="M98" i="1" s="1"/>
  <c r="L97" i="1"/>
  <c r="M97" i="1" s="1"/>
  <c r="J97" i="1"/>
  <c r="L96" i="1"/>
  <c r="M96" i="1" s="1"/>
  <c r="J96" i="1"/>
  <c r="J95" i="1"/>
  <c r="L95" i="1" s="1"/>
  <c r="M95" i="1" s="1"/>
  <c r="J94" i="1"/>
  <c r="L94" i="1" s="1"/>
  <c r="M94" i="1" s="1"/>
  <c r="L93" i="1"/>
  <c r="M93" i="1" s="1"/>
  <c r="J93" i="1"/>
  <c r="L92" i="1"/>
  <c r="M92" i="1" s="1"/>
  <c r="J92" i="1"/>
  <c r="J91" i="1"/>
  <c r="L91" i="1" s="1"/>
  <c r="M91" i="1" s="1"/>
  <c r="J90" i="1"/>
  <c r="L90" i="1" s="1"/>
  <c r="M90" i="1" s="1"/>
  <c r="L89" i="1"/>
  <c r="M89" i="1" s="1"/>
  <c r="J89" i="1"/>
  <c r="L88" i="1"/>
  <c r="M88" i="1" s="1"/>
  <c r="J88" i="1"/>
  <c r="J87" i="1"/>
  <c r="L87" i="1" s="1"/>
  <c r="M87" i="1" s="1"/>
  <c r="J86" i="1"/>
  <c r="L86" i="1" s="1"/>
  <c r="M86" i="1" s="1"/>
  <c r="L85" i="1"/>
  <c r="M85" i="1" s="1"/>
  <c r="J85" i="1"/>
  <c r="L84" i="1"/>
  <c r="M84" i="1" s="1"/>
  <c r="J84" i="1"/>
  <c r="J83" i="1"/>
  <c r="L83" i="1" s="1"/>
  <c r="M83" i="1" s="1"/>
  <c r="J82" i="1"/>
  <c r="L82" i="1" s="1"/>
  <c r="M82" i="1" s="1"/>
  <c r="L81" i="1"/>
  <c r="M81" i="1" s="1"/>
  <c r="J81" i="1"/>
  <c r="L80" i="1"/>
  <c r="M80" i="1" s="1"/>
  <c r="J80" i="1"/>
  <c r="J79" i="1"/>
  <c r="L79" i="1" s="1"/>
  <c r="M79" i="1" s="1"/>
  <c r="J78" i="1"/>
  <c r="L78" i="1" s="1"/>
  <c r="M78" i="1" s="1"/>
  <c r="L77" i="1"/>
  <c r="M77" i="1" s="1"/>
  <c r="J77" i="1"/>
  <c r="L76" i="1"/>
  <c r="M76" i="1" s="1"/>
  <c r="J76" i="1"/>
  <c r="J75" i="1"/>
  <c r="L75" i="1" s="1"/>
  <c r="M75" i="1" s="1"/>
  <c r="J74" i="1"/>
  <c r="L74" i="1" s="1"/>
  <c r="M74" i="1" s="1"/>
  <c r="L73" i="1"/>
  <c r="M73" i="1" s="1"/>
  <c r="J73" i="1"/>
  <c r="L72" i="1"/>
  <c r="M72" i="1" s="1"/>
  <c r="J72" i="1"/>
  <c r="J71" i="1"/>
  <c r="L71" i="1" s="1"/>
  <c r="M71" i="1" s="1"/>
  <c r="J70" i="1"/>
  <c r="L70" i="1" s="1"/>
  <c r="M70" i="1" s="1"/>
  <c r="L69" i="1"/>
  <c r="M69" i="1" s="1"/>
  <c r="J69" i="1"/>
  <c r="L68" i="1"/>
  <c r="M68" i="1" s="1"/>
  <c r="J68" i="1"/>
  <c r="J67" i="1"/>
  <c r="L67" i="1" s="1"/>
  <c r="M67" i="1" s="1"/>
  <c r="J66" i="1"/>
  <c r="L66" i="1" s="1"/>
  <c r="M66" i="1" s="1"/>
  <c r="L65" i="1"/>
  <c r="M65" i="1" s="1"/>
  <c r="J65" i="1"/>
  <c r="L64" i="1"/>
  <c r="M64" i="1" s="1"/>
  <c r="J64" i="1"/>
  <c r="J63" i="1"/>
  <c r="L63" i="1" s="1"/>
  <c r="M63" i="1" s="1"/>
  <c r="J62" i="1"/>
  <c r="L62" i="1" s="1"/>
  <c r="M62" i="1" s="1"/>
  <c r="L61" i="1"/>
  <c r="M61" i="1" s="1"/>
  <c r="J61" i="1"/>
  <c r="L60" i="1"/>
  <c r="M60" i="1" s="1"/>
  <c r="J60" i="1"/>
  <c r="J59" i="1"/>
  <c r="L59" i="1" s="1"/>
  <c r="M59" i="1" s="1"/>
  <c r="J58" i="1"/>
  <c r="L58" i="1" s="1"/>
  <c r="M58" i="1" s="1"/>
  <c r="L57" i="1"/>
  <c r="M57" i="1" s="1"/>
  <c r="J57" i="1"/>
  <c r="L56" i="1"/>
  <c r="M56" i="1" s="1"/>
  <c r="J56" i="1"/>
  <c r="J55" i="1"/>
  <c r="L55" i="1" s="1"/>
  <c r="M55" i="1" s="1"/>
  <c r="J54" i="1"/>
  <c r="L54" i="1" s="1"/>
  <c r="M54" i="1" s="1"/>
  <c r="L53" i="1"/>
  <c r="M53" i="1" s="1"/>
  <c r="J53" i="1"/>
  <c r="L52" i="1"/>
  <c r="M52" i="1" s="1"/>
  <c r="J52" i="1"/>
  <c r="J51" i="1"/>
  <c r="L51" i="1" s="1"/>
  <c r="M51" i="1" s="1"/>
  <c r="J50" i="1"/>
  <c r="L50" i="1" s="1"/>
  <c r="M50" i="1" s="1"/>
  <c r="L49" i="1"/>
  <c r="M49" i="1" s="1"/>
  <c r="J49" i="1"/>
  <c r="L48" i="1"/>
  <c r="M48" i="1" s="1"/>
  <c r="J48" i="1"/>
  <c r="J47" i="1"/>
  <c r="L47" i="1" s="1"/>
  <c r="M47" i="1" s="1"/>
  <c r="J46" i="1"/>
  <c r="L46" i="1" s="1"/>
  <c r="M46" i="1" s="1"/>
  <c r="L45" i="1"/>
  <c r="M45" i="1" s="1"/>
  <c r="J45" i="1"/>
  <c r="L44" i="1"/>
  <c r="M44" i="1" s="1"/>
  <c r="J44" i="1"/>
  <c r="J43" i="1"/>
  <c r="L43" i="1" s="1"/>
  <c r="M43" i="1" s="1"/>
  <c r="J42" i="1"/>
  <c r="L42" i="1" s="1"/>
  <c r="M42" i="1" s="1"/>
  <c r="L41" i="1"/>
  <c r="M41" i="1" s="1"/>
  <c r="J41" i="1"/>
  <c r="L40" i="1"/>
  <c r="M40" i="1" s="1"/>
  <c r="J40" i="1"/>
  <c r="J39" i="1"/>
  <c r="L39" i="1" s="1"/>
  <c r="M39" i="1" s="1"/>
  <c r="J38" i="1"/>
  <c r="L38" i="1" s="1"/>
  <c r="M38" i="1" s="1"/>
  <c r="L37" i="1"/>
  <c r="M37" i="1" s="1"/>
  <c r="J37" i="1"/>
  <c r="L36" i="1"/>
  <c r="M36" i="1" s="1"/>
  <c r="J36" i="1"/>
  <c r="J35" i="1"/>
  <c r="L35" i="1" s="1"/>
  <c r="M35" i="1" s="1"/>
  <c r="J34" i="1"/>
  <c r="L34" i="1" s="1"/>
  <c r="M34" i="1" s="1"/>
  <c r="L33" i="1"/>
  <c r="M33" i="1" s="1"/>
  <c r="J33" i="1"/>
  <c r="L32" i="1"/>
  <c r="M32" i="1" s="1"/>
  <c r="J32" i="1"/>
  <c r="J31" i="1"/>
  <c r="L31" i="1" s="1"/>
  <c r="M31" i="1" s="1"/>
  <c r="J30" i="1"/>
  <c r="L30" i="1" s="1"/>
  <c r="M30" i="1" s="1"/>
  <c r="L29" i="1"/>
  <c r="M29" i="1" s="1"/>
  <c r="J29" i="1"/>
  <c r="L28" i="1"/>
  <c r="M28" i="1" s="1"/>
  <c r="J28" i="1"/>
  <c r="J27" i="1"/>
  <c r="L27" i="1" s="1"/>
  <c r="M27" i="1" s="1"/>
  <c r="J26" i="1"/>
  <c r="L26" i="1" s="1"/>
  <c r="M26" i="1" s="1"/>
  <c r="L25" i="1"/>
  <c r="M25" i="1" s="1"/>
  <c r="J25" i="1"/>
  <c r="L24" i="1"/>
  <c r="M24" i="1" s="1"/>
  <c r="J24" i="1"/>
  <c r="J23" i="1"/>
  <c r="L23" i="1" s="1"/>
  <c r="M23" i="1" s="1"/>
  <c r="J22" i="1"/>
  <c r="L22" i="1" s="1"/>
  <c r="M22" i="1" s="1"/>
  <c r="L21" i="1"/>
  <c r="M21" i="1" s="1"/>
  <c r="J21" i="1"/>
  <c r="L20" i="1"/>
  <c r="M20" i="1" s="1"/>
  <c r="J20" i="1"/>
  <c r="J19" i="1"/>
  <c r="L19" i="1" s="1"/>
  <c r="M19" i="1" s="1"/>
  <c r="J18" i="1"/>
  <c r="L18" i="1" s="1"/>
  <c r="M18" i="1" s="1"/>
  <c r="L17" i="1"/>
  <c r="M17" i="1" s="1"/>
  <c r="J17" i="1"/>
  <c r="L16" i="1"/>
  <c r="M16" i="1" s="1"/>
  <c r="J16" i="1"/>
  <c r="J15" i="1"/>
  <c r="L15" i="1" s="1"/>
  <c r="M15" i="1" s="1"/>
  <c r="J14" i="1"/>
  <c r="L14" i="1" s="1"/>
  <c r="M14" i="1" s="1"/>
  <c r="L13" i="1"/>
  <c r="M13" i="1" s="1"/>
  <c r="J13" i="1"/>
  <c r="L12" i="1"/>
  <c r="M12" i="1" s="1"/>
  <c r="J12" i="1"/>
  <c r="J11" i="1"/>
  <c r="L11" i="1" s="1"/>
  <c r="M11" i="1" s="1"/>
  <c r="J10" i="1"/>
  <c r="E16" i="3" s="1"/>
  <c r="L9" i="1"/>
  <c r="M9" i="1" s="1"/>
  <c r="J9" i="1"/>
  <c r="L8" i="1"/>
  <c r="M8" i="1" s="1"/>
  <c r="J8" i="1"/>
  <c r="J7" i="1"/>
  <c r="L7" i="1" s="1"/>
  <c r="M7" i="1" s="1"/>
  <c r="J6" i="1"/>
  <c r="L6" i="1" s="1"/>
  <c r="M6" i="1" s="1"/>
  <c r="L5" i="1"/>
  <c r="M5" i="1" s="1"/>
  <c r="J5" i="1"/>
  <c r="L4" i="1"/>
  <c r="M4" i="1" s="1"/>
  <c r="J4" i="1"/>
  <c r="J3" i="1"/>
  <c r="J2" i="1"/>
  <c r="E11" i="3" s="1"/>
  <c r="E10" i="3" l="1"/>
  <c r="E14" i="3"/>
  <c r="H9" i="3"/>
  <c r="L3" i="1"/>
  <c r="M3" i="1" s="1"/>
  <c r="E15" i="3"/>
  <c r="E12" i="3"/>
  <c r="B11" i="3"/>
  <c r="E13" i="3"/>
  <c r="B12" i="3"/>
  <c r="E9" i="3"/>
  <c r="H10" i="3"/>
  <c r="H11" i="3"/>
  <c r="H12" i="3"/>
  <c r="B9" i="3"/>
  <c r="B13" i="3"/>
  <c r="L2" i="1"/>
  <c r="L10" i="1"/>
  <c r="M10" i="1" s="1"/>
  <c r="B10" i="3"/>
  <c r="M2" i="1" l="1"/>
</calcChain>
</file>

<file path=xl/sharedStrings.xml><?xml version="1.0" encoding="utf-8"?>
<sst xmlns="http://schemas.openxmlformats.org/spreadsheetml/2006/main" count="968" uniqueCount="195">
  <si>
    <t>Order ID</t>
  </si>
  <si>
    <t>Date</t>
  </si>
  <si>
    <t>Month</t>
  </si>
  <si>
    <t>City</t>
  </si>
  <si>
    <t>Product</t>
  </si>
  <si>
    <t>Category</t>
  </si>
  <si>
    <t>Channel</t>
  </si>
  <si>
    <t>Quantity</t>
  </si>
  <si>
    <t>Unit Price</t>
  </si>
  <si>
    <t>Sales</t>
  </si>
  <si>
    <t>Cost</t>
  </si>
  <si>
    <t>Profit</t>
  </si>
  <si>
    <t>Profit Margin</t>
  </si>
  <si>
    <t>ORD-1001</t>
  </si>
  <si>
    <t>Feb</t>
  </si>
  <si>
    <t>Makkah</t>
  </si>
  <si>
    <t>Keyboard</t>
  </si>
  <si>
    <t>Accessories</t>
  </si>
  <si>
    <t>Corporate</t>
  </si>
  <si>
    <t>ORD-1002</t>
  </si>
  <si>
    <t>Jan</t>
  </si>
  <si>
    <t>Madinah</t>
  </si>
  <si>
    <t>Headset</t>
  </si>
  <si>
    <t>Electronics</t>
  </si>
  <si>
    <t>Online</t>
  </si>
  <si>
    <t>ORD-1003</t>
  </si>
  <si>
    <t>Riyadh</t>
  </si>
  <si>
    <t>Office Chair</t>
  </si>
  <si>
    <t>Furniture</t>
  </si>
  <si>
    <t>ORD-1004</t>
  </si>
  <si>
    <t>Apr</t>
  </si>
  <si>
    <t>Jeddah</t>
  </si>
  <si>
    <t>Wireless Mouse</t>
  </si>
  <si>
    <t>ORD-1005</t>
  </si>
  <si>
    <t>Laptop Stand</t>
  </si>
  <si>
    <t>ORD-1006</t>
  </si>
  <si>
    <t>Store</t>
  </si>
  <si>
    <t>ORD-1007</t>
  </si>
  <si>
    <t>Mar</t>
  </si>
  <si>
    <t>Dammam</t>
  </si>
  <si>
    <t>USB-C Hub</t>
  </si>
  <si>
    <t>ORD-1008</t>
  </si>
  <si>
    <t>ORD-1009</t>
  </si>
  <si>
    <t>Desk Lamp</t>
  </si>
  <si>
    <t>ORD-1010</t>
  </si>
  <si>
    <t>ORD-1011</t>
  </si>
  <si>
    <t>ORD-1012</t>
  </si>
  <si>
    <t>ORD-1013</t>
  </si>
  <si>
    <t>ORD-1014</t>
  </si>
  <si>
    <t>ORD-1015</t>
  </si>
  <si>
    <t>Monitor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</si>
  <si>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</si>
  <si>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</si>
  <si>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</si>
  <si>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</si>
  <si>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</si>
  <si>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</si>
  <si>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</si>
  <si>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</si>
  <si>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</si>
  <si>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</si>
  <si>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</si>
  <si>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</si>
  <si>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</si>
  <si>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</si>
  <si>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</si>
  <si>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</si>
  <si>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</si>
  <si>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</si>
  <si>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</si>
  <si>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</si>
  <si>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</si>
  <si>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</si>
  <si>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</si>
  <si>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</si>
  <si>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</si>
  <si>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</si>
  <si>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</si>
  <si>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</si>
  <si>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</si>
  <si>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</si>
  <si>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</si>
  <si>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</si>
  <si>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</si>
  <si>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</si>
  <si>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</si>
  <si>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</si>
  <si>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</si>
  <si>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</si>
  <si>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</si>
  <si>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</si>
  <si>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</si>
  <si>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</si>
  <si>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</si>
  <si>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</si>
  <si>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</si>
  <si>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</si>
  <si>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</si>
  <si>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</si>
  <si>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</si>
  <si>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</si>
  <si>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</si>
  <si>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</si>
  <si>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</si>
  <si>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</si>
  <si>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</si>
  <si>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</si>
  <si>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</si>
  <si>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</si>
  <si>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</si>
  <si>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</si>
  <si>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</si>
  <si>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</si>
  <si>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</si>
  <si>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</si>
  <si>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</si>
  <si>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</si>
  <si>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</si>
  <si>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</si>
  <si>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</si>
  <si>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</si>
  <si>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</si>
  <si>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</si>
  <si>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</si>
  <si>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</si>
  <si>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</si>
  <si>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</si>
  <si>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</si>
  <si>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</si>
  <si>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</si>
  <si>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</si>
  <si>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</si>
  <si>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</si>
  <si>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</si>
  <si>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</si>
  <si>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</si>
  <si>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</si>
  <si>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</si>
  <si>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</si>
  <si>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</si>
  <si>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</si>
  <si>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</si>
  <si>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</si>
  <si>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</si>
  <si>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</si>
  <si>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</si>
  <si>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</si>
  <si>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</si>
  <si>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</si>
  <si>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</si>
  <si>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</si>
  <si>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</si>
  <si>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</si>
  <si>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</si>
  <si>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</si>
  <si>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</si>
  <si>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</si>
  <si>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</si>
  <si>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</si>
  <si>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</si>
  <si>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</si>
  <si>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</si>
  <si>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</si>
  <si>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</si>
  <si>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</si>
  <si>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</si>
  <si>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</si>
  <si>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</si>
  <si>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</si>
  <si>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</si>
  <si>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</si>
  <si>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</si>
  <si>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</si>
  <si>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</si>
  <si>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</si>
  <si>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</si>
  <si>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</si>
  <si>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</si>
  <si>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</si>
  <si>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</si>
  <si>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</si>
  <si>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</si>
  <si>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</si>
  <si>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</si>
  <si>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</si>
  <si>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</si>
  <si>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Sales Dashboard</t>
  </si>
  <si>
    <t>Total Sales
=SUM(SalesData[Sales])</t>
  </si>
  <si>
    <t>Total Profit
=SUM(SalesData[Profit])</t>
  </si>
  <si>
    <t>Orders
=COUNTA(SalesData[Order ID])</t>
  </si>
  <si>
    <t>Profit Margin
=IFERROR(SUM(SalesData[Profit])/SUM(SalesData[Sales]),0)</t>
  </si>
  <si>
    <t>Row Labels</t>
  </si>
  <si>
    <t>Grand Total</t>
  </si>
  <si>
    <t>Sum of Sales</t>
  </si>
  <si>
    <t>Sales Analysis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</si>
</sst>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2"/>
      <name val="Carlito"/>
    </font>
    <font>
      <sz val="16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4" fontId="0" fillId="0" borderId="0" xfId="0" applyNumberFormat="1" applyFont="1" applyFill="1" applyBorder="1" applyAlignment="1"/>
    <xf numFmtId="165" fontId="0" fillId="0" borderId="0" xfId="0" applyNumberFormat="1" applyFont="1" applyFill="1" applyBorder="1" applyAlignment="1"/>
    <xf numFmtId="4" fontId="0" fillId="0" borderId="0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4" fillId="4" borderId="0" xfId="0" applyFont="1" applyFill="1" applyAlignment="1">
      <alignment horizontal="center" vertical="center"/>
    </xf>
    <xf numFmtId="0" fontId="2" fillId="2" borderId="0" xfId="0" applyNumberFormat="1" applyFont="1" applyFill="1" applyBorder="1" applyAlignment="1">
      <alignment horizontal="center"/>
    </xf>
    <xf numFmtId="0" fontId="0" fillId="0" borderId="0" xfId="0"/>
    <xf numFmtId="0" fontId="3" fillId="3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[sales_excel_report_dashboard.xlsx]Excel Report!PivotTable2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City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Report'!$B$14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Report'!$A$15:$A$20</c:f>
              <c:strCache>
                <c:ptCount val="5"/>
                <c:pt idx="0">
                  <c:v>Dammam</c:v>
                </c:pt>
                <c:pt idx="1">
                  <c:v>Jeddah</c:v>
                </c:pt>
                <c:pt idx="2">
                  <c:v>Madinah</c:v>
                </c:pt>
                <c:pt idx="3">
                  <c:v>Makkah</c:v>
                </c:pt>
                <c:pt idx="4">
                  <c:v>Riyadh</c:v>
                </c:pt>
              </c:strCache>
            </c:strRef>
          </c:cat>
          <c:val>
            <c:numRef>
              <c:f>'Excel Report'!$B$15:$B$20</c:f>
              <c:numCache>
                <c:formatCode>#,##0.00</c:formatCode>
                <c:ptCount val="5"/>
                <c:pt idx="0">
                  <c:v>30449</c:v>
                </c:pt>
                <c:pt idx="1">
                  <c:v>21059</c:v>
                </c:pt>
                <c:pt idx="2">
                  <c:v>42119</c:v>
                </c:pt>
                <c:pt idx="3">
                  <c:v>51221</c:v>
                </c:pt>
                <c:pt idx="4">
                  <c:v>42703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2-4206-AAFF-1AC1536B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988648"/>
        <c:axId val="389992248"/>
      </c:barChart>
      <c:catAx>
        <c:axId val="38998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92248"/>
        <c:crosses val="autoZero"/>
        <c:auto val="1"/>
        <c:lblAlgn val="ctr"/>
        <c:lblOffset val="100"/>
        <c:noMultiLvlLbl val="0"/>
      </c:catAx>
      <c:valAx>
        <c:axId val="38999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[sales_excel_report_dashboard.xlsx]Excel Report!PivotTable3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'Excel Report'!$F$4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'Excel Report'!$E$5:$E$9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'Excel Report'!$F$5:$F$9</c:f>
              <c:numCache>
                <c:formatCode>#,##0.00</c:formatCode>
                <c:ptCount val="4"/>
                <c:pt idx="0">
                  <c:v>55034</c:v>
                </c:pt>
                <c:pt idx="1">
                  <c:v>35234</c:v>
                </c:pt>
                <c:pt idx="2">
                  <c:v>48710</c:v>
                </c:pt>
                <c:pt idx="3">
                  <c:v>48573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7-4118-8832-0FB52DAA27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89993688"/>
        <c:axId val="389985048"/>
      </c:lineChart>
      <c:catAx>
        <c:axId val="38999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5048"/>
        <c:crosses val="autoZero"/>
        <c:auto val="1"/>
        <c:lblAlgn val="ctr"/>
        <c:lblOffset val="100"/>
        <c:noMultiLvlLbl val="0"/>
      </c:catAx>
      <c:valAx>
        <c:axId val="38998504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38999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Sales by 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Dashboard!$A$9:$A$13</c:f>
              <c:strCache>
                <c:ptCount val="5"/>
                <c:pt idx="0">
                  <c:v>Riyadh</c:v>
                </c:pt>
                <c:pt idx="1">
                  <c:v>Jeddah</c:v>
                </c:pt>
                <c:pt idx="2">
                  <c:v>Dammam</c:v>
                </c:pt>
                <c:pt idx="3">
                  <c:v>Makkah</c:v>
                </c:pt>
                <c:pt idx="4">
                  <c:v>Madinah</c:v>
                </c:pt>
              </c:strCache>
            </c:strRef>
          </c:cat>
          <c:val>
            <c:numRef>
              <c:f>Dashboard!$B$9:$B$13</c:f>
              <c:numCache>
                <c:formatCode>#,##0.00</c:formatCode>
                <c:ptCount val="5"/>
                <c:pt idx="0">
                  <c:v>42703</c:v>
                </c:pt>
                <c:pt idx="1">
                  <c:v>21059</c:v>
                </c:pt>
                <c:pt idx="2">
                  <c:v>30449</c:v>
                </c:pt>
                <c:pt idx="3">
                  <c:v>51221</c:v>
                </c:pt>
                <c:pt idx="4">
                  <c:v>42119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5-43F0-96AB-D429557DB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Dashboard!$D$9:$D$16</c:f>
              <c:strCache>
                <c:ptCount val="8"/>
                <c:pt idx="0">
                  <c:v>Laptop Stand</c:v>
                </c:pt>
                <c:pt idx="1">
                  <c:v>Wireless Mouse</c:v>
                </c:pt>
                <c:pt idx="2">
                  <c:v>Keyboard</c:v>
                </c:pt>
                <c:pt idx="3">
                  <c:v>USB-C Hub</c:v>
                </c:pt>
                <c:pt idx="4">
                  <c:v>Monitor</c:v>
                </c:pt>
                <c:pt idx="5">
                  <c:v>Headset</c:v>
                </c:pt>
                <c:pt idx="6">
                  <c:v>Office Chair</c:v>
                </c:pt>
                <c:pt idx="7">
                  <c:v>Desk Lamp</c:v>
                </c:pt>
              </c:strCache>
            </c:strRef>
          </c:cat>
          <c:val>
            <c:numRef>
              <c:f>Dashboard!$E$9:$E$16</c:f>
              <c:numCache>
                <c:formatCode>#,##0.00</c:formatCode>
                <c:ptCount val="8"/>
                <c:pt idx="0">
                  <c:v>13125</c:v>
                </c:pt>
                <c:pt idx="1">
                  <c:v>30542</c:v>
                </c:pt>
                <c:pt idx="2">
                  <c:v>27613</c:v>
                </c:pt>
                <c:pt idx="3">
                  <c:v>26578</c:v>
                </c:pt>
                <c:pt idx="4">
                  <c:v>22963</c:v>
                </c:pt>
                <c:pt idx="5">
                  <c:v>26169</c:v>
                </c:pt>
                <c:pt idx="6">
                  <c:v>17015</c:v>
                </c:pt>
                <c:pt idx="7">
                  <c:v>23546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E-43C6-A7D5-1C7D39AF0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</c:v>
          </c:tx>
          <c:cat>
            <c:strRef>
              <c:f>Dashboard!$G$9:$G$12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Dashboard!$H$9:$H$12</c:f>
              <c:numCache>
                <c:formatCode>#,##0.00</c:formatCode>
                <c:ptCount val="4"/>
                <c:pt idx="0">
                  <c:v>55034</c:v>
                </c:pt>
                <c:pt idx="1">
                  <c:v>35234</c:v>
                </c:pt>
                <c:pt idx="2">
                  <c:v>48710</c:v>
                </c:pt>
                <c:pt idx="3">
                  <c:v>48573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F-46F5-8C23-8E9CB2448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47625</xdr:rowOff>
    </xdr:from>
    <xdr:to>
      <xdr:col>5</xdr:col>
      <xdr:colOff>257175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87CACC-DA53-C31E-B5E5-207DF3638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9</xdr:row>
      <xdr:rowOff>19050</xdr:rowOff>
    </xdr:from>
    <xdr:to>
      <xdr:col>11</xdr:col>
      <xdr:colOff>204787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2ADCD4-587B-883D-F667-F077CC88C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9.675471064817" createdVersion="8" refreshedVersion="8" minRefreshableVersion="3" recordCount="150" xr:uid="{4E77BC95-E186-4FC0-8585-31AE16EB40B0}">
  <cacheSource type="worksheet">
    <worksheetSource name="SalesData"/>
  </cacheSource>
  <cacheFields count="13">
    <cacheField name="Order ID" numFmtId="0">
      <sharedItems/>
    </cacheField>
    <cacheField name="Date" numFmtId="164">
      <sharedItems containsSemiMixedTypes="0" containsNonDate="0" containsDate="1" containsString="0" minDate="2026-01-01T00:00:00" maxDate="2026-05-01T00:00:00"/>
    </cacheField>
    <cacheField name="Month" numFmtId="0">
      <sharedItems count="4">
        <s v="Feb"/>
        <s v="Jan"/>
        <s v="Apr"/>
        <s v="Mar"/>
      </sharedItems>
    </cacheField>
    <cacheField name="City" numFmtId="0">
      <sharedItems count="5">
        <s v="Makkah"/>
        <s v="Madinah"/>
        <s v="Riyadh"/>
        <s v="Jeddah"/>
        <s v="Dammam"/>
      </sharedItems>
    </cacheField>
    <cacheField name="Product" numFmtId="0">
      <sharedItems count="8">
        <s v="Keyboard"/>
        <s v="Headset"/>
        <s v="Office Chair"/>
        <s v="Wireless Mouse"/>
        <s v="Laptop Stand"/>
        <s v="USB-C Hub"/>
        <s v="Desk Lamp"/>
        <s v="Monitor"/>
      </sharedItems>
    </cacheField>
    <cacheField name="Category" numFmtId="0">
      <sharedItems/>
    </cacheField>
    <cacheField name="Channel" numFmtId="0">
      <sharedItems/>
    </cacheField>
    <cacheField name="Quantity" numFmtId="0">
      <sharedItems containsSemiMixedTypes="0" containsString="0" containsNumber="1" containsInteger="1" minValue="1" maxValue="12"/>
    </cacheField>
    <cacheField name="Unit Price" numFmtId="4">
      <sharedItems containsSemiMixedTypes="0" containsString="0" containsNumber="1" containsInteger="1" minValue="49" maxValue="599"/>
    </cacheField>
    <cacheField name="Sales" numFmtId="4">
      <sharedItems containsSemiMixedTypes="0" containsString="0" containsNumber="1" containsInteger="1" minValue="49" maxValue="5990"/>
    </cacheField>
    <cacheField name="Cost" numFmtId="4">
      <sharedItems containsSemiMixedTypes="0" containsString="0" containsNumber="1" minValue="26.97" maxValue="484.84"/>
    </cacheField>
    <cacheField name="Profit" numFmtId="4">
      <sharedItems containsSemiMixedTypes="0" containsString="0" containsNumber="1" minValue="13.770000000000003" maxValue="2398.6799999999998" count="149">
        <n v="17.119999999999997"/>
        <n v="510.65999999999997"/>
        <n v="401.78"/>
        <n v="158.51"/>
        <n v="331.28999999999996"/>
        <n v="376.19999999999993"/>
        <n v="200.88"/>
        <n v="538.20000000000005"/>
        <n v="103.48000000000002"/>
        <n v="767.42999999999984"/>
        <n v="46.760000000000005"/>
        <n v="65.240000000000009"/>
        <n v="702.48"/>
        <n v="260.16000000000003"/>
        <n v="305.76"/>
        <n v="169.32"/>
        <n v="132.57"/>
        <n v="600.88000000000011"/>
        <n v="228.64999999999998"/>
        <n v="81.02"/>
        <n v="375.29999999999995"/>
        <n v="230.03999999999996"/>
        <n v="767.6099999999999"/>
        <n v="136.71"/>
        <n v="124.19999999999999"/>
        <n v="126.72"/>
        <n v="285.95000000000005"/>
        <n v="1019.44"/>
        <n v="286.79999999999995"/>
        <n v="844.16000000000008"/>
        <n v="216.14999999999998"/>
        <n v="727.83999999999992"/>
        <n v="118.19999999999999"/>
        <n v="402.16000000000008"/>
        <n v="262.08000000000004"/>
        <n v="116.63999999999999"/>
        <n v="157.10000000000002"/>
        <n v="118.92000000000002"/>
        <n v="594.23"/>
        <n v="228.84000000000003"/>
        <n v="926.70000000000027"/>
        <n v="2235.33"/>
        <n v="137.15999999999997"/>
        <n v="187.56"/>
        <n v="300.44"/>
        <n v="2015.1999999999998"/>
        <n v="2398.6799999999998"/>
        <n v="122.31"/>
        <n v="1102.3200000000002"/>
        <n v="193.60000000000002"/>
        <n v="108"/>
        <n v="1715.1999999999998"/>
        <n v="1123.6500000000001"/>
        <n v="267.27999999999997"/>
        <n v="474.42999999999995"/>
        <n v="982.44"/>
        <n v="308.27999999999997"/>
        <n v="542.63999999999987"/>
        <n v="507.59999999999991"/>
        <n v="830.40000000000009"/>
        <n v="570.80000000000018"/>
        <n v="327.29999999999995"/>
        <n v="355.03999999999996"/>
        <n v="57.349999999999994"/>
        <n v="17.520000000000003"/>
        <n v="356.62"/>
        <n v="45.239999999999995"/>
        <n v="39.159999999999997"/>
        <n v="628.40000000000009"/>
        <n v="109.25"/>
        <n v="672.4"/>
        <n v="1538.3899999999999"/>
        <n v="404.76"/>
        <n v="99.44"/>
        <n v="472.55999999999995"/>
        <n v="112.07999999999998"/>
        <n v="687.78"/>
        <n v="52.83"/>
        <n v="543.51"/>
        <n v="67.740000000000009"/>
        <n v="275.55"/>
        <n v="980.69999999999982"/>
        <n v="564.3900000000001"/>
        <n v="111.19999999999999"/>
        <n v="27.519999999999996"/>
        <n v="13.770000000000003"/>
        <n v="93.610000000000014"/>
        <n v="1828.56"/>
        <n v="129.12"/>
        <n v="289.52"/>
        <n v="227.73000000000002"/>
        <n v="47.010000000000005"/>
        <n v="592.88"/>
        <n v="109.12"/>
        <n v="145.76"/>
        <n v="221.8"/>
        <n v="170.51999999999998"/>
        <n v="244.26"/>
        <n v="28.439999999999998"/>
        <n v="401.16000000000008"/>
        <n v="49.210000000000008"/>
        <n v="121.43999999999994"/>
        <n v="314.29999999999995"/>
        <n v="91.699999999999989"/>
        <n v="388.5"/>
        <n v="557.04"/>
        <n v="980.88000000000011"/>
        <n v="248.95999999999998"/>
        <n v="186.59999999999991"/>
        <n v="190.44"/>
        <n v="467.93999999999994"/>
        <n v="288.07999999999993"/>
        <n v="219.56"/>
        <n v="206.93999999999994"/>
        <n v="1649.1299999999997"/>
        <n v="413.95000000000005"/>
        <n v="340.67999999999995"/>
        <n v="49.260000000000005"/>
        <n v="25.82"/>
        <n v="105.34"/>
        <n v="198.27"/>
        <n v="311.62999999999988"/>
        <n v="222.18"/>
        <n v="87.64"/>
        <n v="456.5"/>
        <n v="777.83999999999992"/>
        <n v="174.05"/>
        <n v="50.949999999999989"/>
        <n v="1293.1999999999998"/>
        <n v="622.76"/>
        <n v="164.72000000000003"/>
        <n v="325.20000000000005"/>
        <n v="235.32"/>
        <n v="237.89999999999998"/>
        <n v="612.04"/>
        <n v="28.08"/>
        <n v="352.28"/>
        <n v="158.47"/>
        <n v="1057.74"/>
        <n v="111.36999999999998"/>
        <n v="185.79999999999995"/>
        <n v="33.26"/>
        <n v="471.59999999999991"/>
        <n v="354.56"/>
        <n v="173.12"/>
        <n v="399.68999999999994"/>
        <n v="172.48000000000002"/>
        <n v="56.78"/>
        <n v="1287.1199999999999"/>
      </sharedItems>
    </cacheField>
    <cacheField name="Profit Margin" numFmtId="165">
      <sharedItems containsSemiMixedTypes="0" containsString="0" containsNumber="1" minValue="0.18032128514056223" maxValue="0.44959183673469388" count="150">
        <n v="0.22826666666666665"/>
        <n v="0.43984496124031003"/>
        <n v="0.33537562604340565"/>
        <n v="0.2940816326530612"/>
        <n v="0.37181818181818177"/>
        <n v="0.42222222222222217"/>
        <n v="0.29759999999999998"/>
        <n v="0.24016064257028114"/>
        <n v="0.26131313131313139"/>
        <n v="0.21370927318295735"/>
        <n v="0.31173333333333336"/>
        <n v="0.19020408163265309"/>
        <n v="0.29343358395989977"/>
        <n v="0.43360000000000004"/>
        <n v="0.25651006711409396"/>
        <n v="0.28505050505050505"/>
        <n v="0.34255813953488368"/>
        <n v="0.30164658634538161"/>
        <n v="0.18365461847389555"/>
        <n v="0.40919191919191916"/>
        <n v="0.37909090909090903"/>
        <n v="0.19266331658291455"/>
        <n v="0.34253012048192766"/>
        <n v="0.39857142857142858"/>
        <n v="0.42244897959183669"/>
        <n v="0.43102040816326531"/>
        <n v="0.2873869346733669"/>
        <n v="0.31937343358395992"/>
        <n v="0.32080536912751673"/>
        <n v="0.35232053422370624"/>
        <n v="0.26199999999999996"/>
        <n v="0.30377295492487477"/>
        <n v="0.22906976744186044"/>
        <n v="0.25261306532663319"/>
        <n v="0.32924623115577895"/>
        <n v="0.38879999999999998"/>
        <n v="0.32061224489795925"/>
        <n v="0.2387951807228916"/>
        <n v="0.42658291457286435"/>
        <n v="0.2542666666666667"/>
        <n v="0.23225563909774444"/>
        <n v="0.41464106844741233"/>
        <n v="0.18361445783132527"/>
        <n v="0.31469798657718123"/>
        <n v="0.43353535353535355"/>
        <n v="0.33642737896494151"/>
        <n v="0.44494156928213685"/>
        <n v="0.41181818181818181"/>
        <n v="0.30671118530884811"/>
        <n v="0.37519379844961243"/>
        <n v="0.24489795918367346"/>
        <n v="0.2863439065108514"/>
        <n v="0.31290726817042608"/>
        <n v="0.33747474747474743"/>
        <n v="0.33434108527131778"/>
        <n v="0.4114070351758794"/>
        <n v="0.3425333333333333"/>
        <n v="0.18160642570281121"/>
        <n v="0.42512562814070343"/>
        <n v="0.26015037593984963"/>
        <n v="0.19058430717863112"/>
        <n v="0.43932885906040264"/>
        <n v="0.34040268456375833"/>
        <n v="0.2340816326530612"/>
        <n v="0.23360000000000003"/>
        <n v="0.44689223057644112"/>
        <n v="0.3077551020408163"/>
        <n v="0.39555555555555549"/>
        <n v="0.31498746867167926"/>
        <n v="0.44591836734693879"/>
        <n v="0.4213032581453634"/>
        <n v="0.3668948247078464"/>
        <n v="0.34070707070707068"/>
        <n v="0.33369127516778524"/>
        <n v="0.28832214765100667"/>
        <n v="0.37737373737373731"/>
        <n v="0.38402010050251256"/>
        <n v="0.3593877551020408"/>
        <n v="0.38302325581395347"/>
        <n v="0.34212121212121216"/>
        <n v="0.42720930232558141"/>
        <n v="0.40964912280701749"/>
        <n v="0.25184738955823299"/>
        <n v="0.22693877551020405"/>
        <n v="0.27797979797979794"/>
        <n v="0.28102040816326535"/>
        <n v="0.23461152882205516"/>
        <n v="0.38190476190476191"/>
        <n v="0.25023255813953488"/>
        <n v="0.24288590604026844"/>
        <n v="0.38145728643216081"/>
        <n v="0.319795918367347"/>
        <n v="0.37147869674185463"/>
        <n v="0.18186666666666668"/>
        <n v="0.37183673469387751"/>
        <n v="0.42984496124031008"/>
        <n v="0.28707070707070703"/>
        <n v="0.31558139534883722"/>
        <n v="0.19346938775510203"/>
        <n v="0.33767676767676774"/>
        <n v="0.24728643216080406"/>
        <n v="0.20653061224489785"/>
        <n v="0.18032128514056223"/>
        <n v="0.37428571428571422"/>
        <n v="0.31204819277108437"/>
        <n v="0.2033734939759036"/>
        <n v="0.32827309236947794"/>
        <n v="0.4156260434056761"/>
        <n v="0.25046979865771801"/>
        <n v="0.31953020134228188"/>
        <n v="0.42969696969696963"/>
        <n v="0.18095477386934669"/>
        <n v="0.42550387596899225"/>
        <n v="0.23147651006711403"/>
        <n v="0.39330550918196988"/>
        <n v="0.41603015075376887"/>
        <n v="0.34204819277108428"/>
        <n v="0.33510204081632655"/>
        <n v="0.34426666666666667"/>
        <n v="0.40829457364341087"/>
        <n v="0.44959183673469388"/>
        <n v="0.19013422818791939"/>
        <n v="0.42320000000000002"/>
        <n v="0.44714285714285712"/>
        <n v="0.32170542635658916"/>
        <n v="0.43503355704697982"/>
        <n v="0.2698449612403101"/>
        <n v="0.25603015075376878"/>
        <n v="0.43178631051752914"/>
        <n v="0.39020050125313283"/>
        <n v="0.20797979797979801"/>
        <n v="0.43534136546184743"/>
        <n v="0.40020408163265303"/>
        <n v="0.39849246231155777"/>
        <n v="0.22345381526104416"/>
        <n v="0.37439999999999996"/>
        <n v="0.35369477911646585"/>
        <n v="0.39716791979949873"/>
        <n v="0.44182957393483707"/>
        <n v="0.32469387755102036"/>
        <n v="0.20733333333333323"/>
        <n v="0.37918367346938764"/>
        <n v="0.44346666666666662"/>
        <n v="0.23674698795180718"/>
        <n v="0.44767676767676767"/>
        <n v="0.21748743718592967"/>
        <n v="0.34426356589147283"/>
        <n v="0.32"/>
        <n v="0.37853333333333333"/>
        <n v="0.4032330827067668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ORD-1001"/>
    <d v="2026-02-11T00:00:00"/>
    <x v="0"/>
    <x v="0"/>
    <x v="0"/>
    <s v="Accessories"/>
    <s v="Corporate"/>
    <n v="1"/>
    <n v="75"/>
    <n v="75"/>
    <n v="57.88"/>
    <x v="0"/>
    <x v="0"/>
  </r>
  <r>
    <s v="ORD-1002"/>
    <d v="2026-01-13T00:00:00"/>
    <x v="1"/>
    <x v="1"/>
    <x v="1"/>
    <s v="Electronics"/>
    <s v="Online"/>
    <n v="9"/>
    <n v="129"/>
    <n v="1161"/>
    <n v="72.260000000000005"/>
    <x v="1"/>
    <x v="1"/>
  </r>
  <r>
    <s v="ORD-1003"/>
    <d v="2026-02-25T00:00:00"/>
    <x v="0"/>
    <x v="2"/>
    <x v="2"/>
    <s v="Furniture"/>
    <s v="Online"/>
    <n v="2"/>
    <n v="599"/>
    <n v="1198"/>
    <n v="398.11"/>
    <x v="2"/>
    <x v="2"/>
  </r>
  <r>
    <s v="ORD-1004"/>
    <d v="2026-04-16T00:00:00"/>
    <x v="2"/>
    <x v="3"/>
    <x v="3"/>
    <s v="Accessories"/>
    <s v="Corporate"/>
    <n v="11"/>
    <n v="49"/>
    <n v="539"/>
    <n v="34.590000000000003"/>
    <x v="3"/>
    <x v="3"/>
  </r>
  <r>
    <s v="ORD-1005"/>
    <d v="2026-02-20T00:00:00"/>
    <x v="0"/>
    <x v="3"/>
    <x v="4"/>
    <s v="Accessories"/>
    <s v="Online"/>
    <n v="9"/>
    <n v="99"/>
    <n v="891"/>
    <n v="62.19"/>
    <x v="4"/>
    <x v="4"/>
  </r>
  <r>
    <s v="ORD-1006"/>
    <d v="2026-01-19T00:00:00"/>
    <x v="1"/>
    <x v="1"/>
    <x v="3"/>
    <s v="Accessories"/>
    <s v="Store"/>
    <n v="9"/>
    <n v="99"/>
    <n v="891"/>
    <n v="57.2"/>
    <x v="5"/>
    <x v="5"/>
  </r>
  <r>
    <s v="ORD-1007"/>
    <d v="2026-03-15T00:00:00"/>
    <x v="3"/>
    <x v="4"/>
    <x v="5"/>
    <s v="Accessories"/>
    <s v="Online"/>
    <n v="9"/>
    <n v="75"/>
    <n v="675"/>
    <n v="52.68"/>
    <x v="6"/>
    <x v="6"/>
  </r>
  <r>
    <s v="ORD-1008"/>
    <d v="2026-03-21T00:00:00"/>
    <x v="3"/>
    <x v="0"/>
    <x v="5"/>
    <s v="Accessories"/>
    <s v="Corporate"/>
    <n v="9"/>
    <n v="249"/>
    <n v="2241"/>
    <n v="189.2"/>
    <x v="7"/>
    <x v="7"/>
  </r>
  <r>
    <s v="ORD-1009"/>
    <d v="2026-03-01T00:00:00"/>
    <x v="3"/>
    <x v="4"/>
    <x v="6"/>
    <s v="Furniture"/>
    <s v="Store"/>
    <n v="4"/>
    <n v="99"/>
    <n v="396"/>
    <n v="73.13"/>
    <x v="8"/>
    <x v="8"/>
  </r>
  <r>
    <s v="ORD-1010"/>
    <d v="2026-02-01T00:00:00"/>
    <x v="0"/>
    <x v="1"/>
    <x v="3"/>
    <s v="Accessories"/>
    <s v="Store"/>
    <n v="9"/>
    <n v="399"/>
    <n v="3591"/>
    <n v="313.73"/>
    <x v="9"/>
    <x v="9"/>
  </r>
  <r>
    <s v="ORD-1011"/>
    <d v="2026-04-04T00:00:00"/>
    <x v="2"/>
    <x v="4"/>
    <x v="6"/>
    <s v="Furniture"/>
    <s v="Corporate"/>
    <n v="2"/>
    <n v="75"/>
    <n v="150"/>
    <n v="51.62"/>
    <x v="10"/>
    <x v="10"/>
  </r>
  <r>
    <s v="ORD-1012"/>
    <d v="2026-01-22T00:00:00"/>
    <x v="1"/>
    <x v="3"/>
    <x v="1"/>
    <s v="Electronics"/>
    <s v="Store"/>
    <n v="7"/>
    <n v="49"/>
    <n v="343"/>
    <n v="39.68"/>
    <x v="11"/>
    <x v="11"/>
  </r>
  <r>
    <s v="ORD-1013"/>
    <d v="2026-01-10T00:00:00"/>
    <x v="1"/>
    <x v="4"/>
    <x v="1"/>
    <s v="Electronics"/>
    <s v="Corporate"/>
    <n v="6"/>
    <n v="399"/>
    <n v="2394"/>
    <n v="281.92"/>
    <x v="12"/>
    <x v="12"/>
  </r>
  <r>
    <s v="ORD-1014"/>
    <d v="2026-02-28T00:00:00"/>
    <x v="0"/>
    <x v="2"/>
    <x v="3"/>
    <s v="Accessories"/>
    <s v="Store"/>
    <n v="8"/>
    <n v="75"/>
    <n v="600"/>
    <n v="42.48"/>
    <x v="13"/>
    <x v="13"/>
  </r>
  <r>
    <s v="ORD-1015"/>
    <d v="2026-03-31T00:00:00"/>
    <x v="3"/>
    <x v="1"/>
    <x v="7"/>
    <s v="Electronics"/>
    <s v="Corporate"/>
    <n v="8"/>
    <n v="149"/>
    <n v="1192"/>
    <n v="110.78"/>
    <x v="14"/>
    <x v="14"/>
  </r>
  <r>
    <s v="ORD-1016"/>
    <d v="2026-04-24T00:00:00"/>
    <x v="2"/>
    <x v="2"/>
    <x v="1"/>
    <s v="Electronics"/>
    <s v="Store"/>
    <n v="6"/>
    <n v="99"/>
    <n v="594"/>
    <n v="70.78"/>
    <x v="15"/>
    <x v="15"/>
  </r>
  <r>
    <s v="ORD-1017"/>
    <d v="2026-03-05T00:00:00"/>
    <x v="3"/>
    <x v="3"/>
    <x v="4"/>
    <s v="Accessories"/>
    <s v="Store"/>
    <n v="3"/>
    <n v="129"/>
    <n v="387"/>
    <n v="84.81"/>
    <x v="16"/>
    <x v="16"/>
  </r>
  <r>
    <s v="ORD-1018"/>
    <d v="2026-04-28T00:00:00"/>
    <x v="2"/>
    <x v="2"/>
    <x v="6"/>
    <s v="Furniture"/>
    <s v="Online"/>
    <n v="8"/>
    <n v="249"/>
    <n v="1992"/>
    <n v="173.89"/>
    <x v="17"/>
    <x v="17"/>
  </r>
  <r>
    <s v="ORD-1019"/>
    <d v="2026-04-24T00:00:00"/>
    <x v="2"/>
    <x v="0"/>
    <x v="0"/>
    <s v="Accessories"/>
    <s v="Corporate"/>
    <n v="5"/>
    <n v="249"/>
    <n v="1245"/>
    <n v="203.27"/>
    <x v="18"/>
    <x v="18"/>
  </r>
  <r>
    <s v="ORD-1020"/>
    <d v="2026-03-29T00:00:00"/>
    <x v="3"/>
    <x v="3"/>
    <x v="2"/>
    <s v="Furniture"/>
    <s v="Online"/>
    <n v="2"/>
    <n v="99"/>
    <n v="198"/>
    <n v="58.49"/>
    <x v="19"/>
    <x v="19"/>
  </r>
  <r>
    <s v="ORD-1021"/>
    <d v="2026-03-26T00:00:00"/>
    <x v="3"/>
    <x v="2"/>
    <x v="5"/>
    <s v="Accessories"/>
    <s v="Store"/>
    <n v="10"/>
    <n v="99"/>
    <n v="990"/>
    <n v="61.47"/>
    <x v="20"/>
    <x v="20"/>
  </r>
  <r>
    <s v="ORD-1022"/>
    <d v="2026-01-01T00:00:00"/>
    <x v="1"/>
    <x v="0"/>
    <x v="0"/>
    <s v="Accessories"/>
    <s v="Corporate"/>
    <n v="6"/>
    <n v="199"/>
    <n v="1194"/>
    <n v="160.66"/>
    <x v="21"/>
    <x v="21"/>
  </r>
  <r>
    <s v="ORD-1023"/>
    <d v="2026-03-30T00:00:00"/>
    <x v="3"/>
    <x v="0"/>
    <x v="4"/>
    <s v="Accessories"/>
    <s v="Corporate"/>
    <n v="9"/>
    <n v="249"/>
    <n v="2241"/>
    <n v="163.71"/>
    <x v="22"/>
    <x v="22"/>
  </r>
  <r>
    <s v="ORD-1024"/>
    <d v="2026-02-20T00:00:00"/>
    <x v="0"/>
    <x v="0"/>
    <x v="3"/>
    <s v="Accessories"/>
    <s v="Corporate"/>
    <n v="7"/>
    <n v="49"/>
    <n v="343"/>
    <n v="29.47"/>
    <x v="23"/>
    <x v="23"/>
  </r>
  <r>
    <s v="ORD-1025"/>
    <d v="2026-01-27T00:00:00"/>
    <x v="1"/>
    <x v="3"/>
    <x v="6"/>
    <s v="Furniture"/>
    <s v="Online"/>
    <n v="6"/>
    <n v="49"/>
    <n v="294"/>
    <n v="28.3"/>
    <x v="24"/>
    <x v="24"/>
  </r>
  <r>
    <s v="ORD-1026"/>
    <d v="2026-03-14T00:00:00"/>
    <x v="3"/>
    <x v="1"/>
    <x v="0"/>
    <s v="Accessories"/>
    <s v="Online"/>
    <n v="6"/>
    <n v="49"/>
    <n v="294"/>
    <n v="27.88"/>
    <x v="25"/>
    <x v="25"/>
  </r>
  <r>
    <s v="ORD-1027"/>
    <d v="2026-01-27T00:00:00"/>
    <x v="1"/>
    <x v="3"/>
    <x v="2"/>
    <s v="Furniture"/>
    <s v="Corporate"/>
    <n v="5"/>
    <n v="199"/>
    <n v="995"/>
    <n v="141.81"/>
    <x v="26"/>
    <x v="26"/>
  </r>
  <r>
    <s v="ORD-1028"/>
    <d v="2026-03-02T00:00:00"/>
    <x v="3"/>
    <x v="2"/>
    <x v="3"/>
    <s v="Accessories"/>
    <s v="Store"/>
    <n v="8"/>
    <n v="399"/>
    <n v="3192"/>
    <n v="271.57"/>
    <x v="27"/>
    <x v="27"/>
  </r>
  <r>
    <s v="ORD-1029"/>
    <d v="2026-01-11T00:00:00"/>
    <x v="1"/>
    <x v="2"/>
    <x v="0"/>
    <s v="Accessories"/>
    <s v="Corporate"/>
    <n v="6"/>
    <n v="149"/>
    <n v="894"/>
    <n v="101.2"/>
    <x v="28"/>
    <x v="28"/>
  </r>
  <r>
    <s v="ORD-1030"/>
    <d v="2026-03-30T00:00:00"/>
    <x v="3"/>
    <x v="1"/>
    <x v="0"/>
    <s v="Accessories"/>
    <s v="Online"/>
    <n v="4"/>
    <n v="599"/>
    <n v="2396"/>
    <n v="387.96"/>
    <x v="29"/>
    <x v="29"/>
  </r>
  <r>
    <s v="ORD-1031"/>
    <d v="2026-03-30T00:00:00"/>
    <x v="3"/>
    <x v="1"/>
    <x v="4"/>
    <s v="Accessories"/>
    <s v="Store"/>
    <n v="11"/>
    <n v="75"/>
    <n v="825"/>
    <n v="55.35"/>
    <x v="30"/>
    <x v="30"/>
  </r>
  <r>
    <s v="ORD-1032"/>
    <d v="2026-02-03T00:00:00"/>
    <x v="0"/>
    <x v="3"/>
    <x v="1"/>
    <s v="Electronics"/>
    <s v="Store"/>
    <n v="4"/>
    <n v="599"/>
    <n v="2396"/>
    <n v="417.04"/>
    <x v="31"/>
    <x v="31"/>
  </r>
  <r>
    <s v="ORD-1033"/>
    <d v="2026-03-06T00:00:00"/>
    <x v="3"/>
    <x v="3"/>
    <x v="1"/>
    <s v="Electronics"/>
    <s v="Corporate"/>
    <n v="4"/>
    <n v="129"/>
    <n v="516"/>
    <n v="99.45"/>
    <x v="32"/>
    <x v="32"/>
  </r>
  <r>
    <s v="ORD-1034"/>
    <d v="2026-04-05T00:00:00"/>
    <x v="2"/>
    <x v="3"/>
    <x v="5"/>
    <s v="Accessories"/>
    <s v="Corporate"/>
    <n v="8"/>
    <n v="199"/>
    <n v="1592"/>
    <n v="148.72999999999999"/>
    <x v="33"/>
    <x v="33"/>
  </r>
  <r>
    <s v="ORD-1035"/>
    <d v="2026-01-04T00:00:00"/>
    <x v="1"/>
    <x v="0"/>
    <x v="7"/>
    <s v="Electronics"/>
    <s v="Store"/>
    <n v="4"/>
    <n v="199"/>
    <n v="796"/>
    <n v="133.47999999999999"/>
    <x v="34"/>
    <x v="34"/>
  </r>
  <r>
    <s v="ORD-1036"/>
    <d v="2026-04-30T00:00:00"/>
    <x v="2"/>
    <x v="4"/>
    <x v="1"/>
    <s v="Electronics"/>
    <s v="Online"/>
    <n v="4"/>
    <n v="75"/>
    <n v="300"/>
    <n v="45.84"/>
    <x v="35"/>
    <x v="35"/>
  </r>
  <r>
    <s v="ORD-1037"/>
    <d v="2026-01-26T00:00:00"/>
    <x v="1"/>
    <x v="3"/>
    <x v="1"/>
    <s v="Electronics"/>
    <s v="Store"/>
    <n v="10"/>
    <n v="49"/>
    <n v="490"/>
    <n v="33.29"/>
    <x v="36"/>
    <x v="36"/>
  </r>
  <r>
    <s v="ORD-1038"/>
    <d v="2026-03-25T00:00:00"/>
    <x v="3"/>
    <x v="2"/>
    <x v="1"/>
    <s v="Electronics"/>
    <s v="Corporate"/>
    <n v="2"/>
    <n v="249"/>
    <n v="498"/>
    <n v="189.54"/>
    <x v="37"/>
    <x v="37"/>
  </r>
  <r>
    <s v="ORD-1039"/>
    <d v="2026-04-07T00:00:00"/>
    <x v="2"/>
    <x v="0"/>
    <x v="5"/>
    <s v="Accessories"/>
    <s v="Online"/>
    <n v="7"/>
    <n v="199"/>
    <n v="1393"/>
    <n v="114.11"/>
    <x v="38"/>
    <x v="38"/>
  </r>
  <r>
    <s v="ORD-1040"/>
    <d v="2026-04-03T00:00:00"/>
    <x v="2"/>
    <x v="0"/>
    <x v="2"/>
    <s v="Furniture"/>
    <s v="Store"/>
    <n v="12"/>
    <n v="75"/>
    <n v="900"/>
    <n v="55.93"/>
    <x v="39"/>
    <x v="39"/>
  </r>
  <r>
    <s v="ORD-1041"/>
    <d v="2026-01-22T00:00:00"/>
    <x v="1"/>
    <x v="2"/>
    <x v="0"/>
    <s v="Accessories"/>
    <s v="Online"/>
    <n v="10"/>
    <n v="399"/>
    <n v="3990"/>
    <n v="306.33"/>
    <x v="40"/>
    <x v="40"/>
  </r>
  <r>
    <s v="ORD-1042"/>
    <d v="2026-01-19T00:00:00"/>
    <x v="1"/>
    <x v="4"/>
    <x v="6"/>
    <s v="Furniture"/>
    <s v="Online"/>
    <n v="9"/>
    <n v="599"/>
    <n v="5391"/>
    <n v="350.63"/>
    <x v="41"/>
    <x v="41"/>
  </r>
  <r>
    <s v="ORD-1043"/>
    <d v="2026-01-02T00:00:00"/>
    <x v="1"/>
    <x v="1"/>
    <x v="3"/>
    <s v="Accessories"/>
    <s v="Corporate"/>
    <n v="3"/>
    <n v="249"/>
    <n v="747"/>
    <n v="203.28"/>
    <x v="42"/>
    <x v="42"/>
  </r>
  <r>
    <s v="ORD-1044"/>
    <d v="2026-01-25T00:00:00"/>
    <x v="1"/>
    <x v="2"/>
    <x v="5"/>
    <s v="Accessories"/>
    <s v="Store"/>
    <n v="4"/>
    <n v="149"/>
    <n v="596"/>
    <n v="102.11"/>
    <x v="43"/>
    <x v="43"/>
  </r>
  <r>
    <s v="ORD-1045"/>
    <d v="2026-04-08T00:00:00"/>
    <x v="2"/>
    <x v="4"/>
    <x v="1"/>
    <s v="Electronics"/>
    <s v="Corporate"/>
    <n v="7"/>
    <n v="99"/>
    <n v="693"/>
    <n v="56.08"/>
    <x v="44"/>
    <x v="44"/>
  </r>
  <r>
    <s v="ORD-1046"/>
    <d v="2026-04-05T00:00:00"/>
    <x v="2"/>
    <x v="0"/>
    <x v="1"/>
    <s v="Electronics"/>
    <s v="Corporate"/>
    <n v="10"/>
    <n v="599"/>
    <n v="5990"/>
    <n v="397.48"/>
    <x v="45"/>
    <x v="45"/>
  </r>
  <r>
    <s v="ORD-1047"/>
    <d v="2026-04-28T00:00:00"/>
    <x v="2"/>
    <x v="1"/>
    <x v="0"/>
    <s v="Accessories"/>
    <s v="Online"/>
    <n v="9"/>
    <n v="599"/>
    <n v="5391"/>
    <n v="332.48"/>
    <x v="46"/>
    <x v="46"/>
  </r>
  <r>
    <s v="ORD-1048"/>
    <d v="2026-02-26T00:00:00"/>
    <x v="0"/>
    <x v="1"/>
    <x v="0"/>
    <s v="Accessories"/>
    <s v="Online"/>
    <n v="3"/>
    <n v="99"/>
    <n v="297"/>
    <n v="58.23"/>
    <x v="47"/>
    <x v="47"/>
  </r>
  <r>
    <s v="ORD-1049"/>
    <d v="2026-03-21T00:00:00"/>
    <x v="3"/>
    <x v="1"/>
    <x v="3"/>
    <s v="Accessories"/>
    <s v="Online"/>
    <n v="6"/>
    <n v="599"/>
    <n v="3594"/>
    <n v="415.28"/>
    <x v="48"/>
    <x v="48"/>
  </r>
  <r>
    <s v="ORD-1050"/>
    <d v="2026-03-03T00:00:00"/>
    <x v="3"/>
    <x v="1"/>
    <x v="3"/>
    <s v="Accessories"/>
    <s v="Online"/>
    <n v="4"/>
    <n v="129"/>
    <n v="516"/>
    <n v="80.599999999999994"/>
    <x v="49"/>
    <x v="49"/>
  </r>
  <r>
    <s v="ORD-1051"/>
    <d v="2026-04-09T00:00:00"/>
    <x v="2"/>
    <x v="1"/>
    <x v="3"/>
    <s v="Accessories"/>
    <s v="Store"/>
    <n v="9"/>
    <n v="49"/>
    <n v="441"/>
    <n v="37"/>
    <x v="50"/>
    <x v="50"/>
  </r>
  <r>
    <s v="ORD-1052"/>
    <d v="2026-04-27T00:00:00"/>
    <x v="2"/>
    <x v="0"/>
    <x v="3"/>
    <s v="Accessories"/>
    <s v="Store"/>
    <n v="10"/>
    <n v="599"/>
    <n v="5990"/>
    <n v="427.48"/>
    <x v="51"/>
    <x v="51"/>
  </r>
  <r>
    <s v="ORD-1053"/>
    <d v="2026-01-26T00:00:00"/>
    <x v="1"/>
    <x v="0"/>
    <x v="7"/>
    <s v="Electronics"/>
    <s v="Corporate"/>
    <n v="9"/>
    <n v="399"/>
    <n v="3591"/>
    <n v="274.14999999999998"/>
    <x v="52"/>
    <x v="52"/>
  </r>
  <r>
    <s v="ORD-1054"/>
    <d v="2026-02-01T00:00:00"/>
    <x v="0"/>
    <x v="1"/>
    <x v="7"/>
    <s v="Electronics"/>
    <s v="Online"/>
    <n v="8"/>
    <n v="99"/>
    <n v="792"/>
    <n v="65.59"/>
    <x v="53"/>
    <x v="53"/>
  </r>
  <r>
    <s v="ORD-1055"/>
    <d v="2026-02-20T00:00:00"/>
    <x v="0"/>
    <x v="4"/>
    <x v="6"/>
    <s v="Furniture"/>
    <s v="Online"/>
    <n v="11"/>
    <n v="129"/>
    <n v="1419"/>
    <n v="85.87"/>
    <x v="54"/>
    <x v="54"/>
  </r>
  <r>
    <s v="ORD-1056"/>
    <d v="2026-01-28T00:00:00"/>
    <x v="1"/>
    <x v="2"/>
    <x v="7"/>
    <s v="Electronics"/>
    <s v="Online"/>
    <n v="12"/>
    <n v="199"/>
    <n v="2388"/>
    <n v="117.13"/>
    <x v="55"/>
    <x v="55"/>
  </r>
  <r>
    <s v="ORD-1057"/>
    <d v="2026-04-24T00:00:00"/>
    <x v="2"/>
    <x v="0"/>
    <x v="0"/>
    <s v="Accessories"/>
    <s v="Online"/>
    <n v="12"/>
    <n v="75"/>
    <n v="900"/>
    <n v="49.31"/>
    <x v="56"/>
    <x v="56"/>
  </r>
  <r>
    <s v="ORD-1058"/>
    <d v="2026-03-04T00:00:00"/>
    <x v="3"/>
    <x v="3"/>
    <x v="0"/>
    <s v="Accessories"/>
    <s v="Online"/>
    <n v="12"/>
    <n v="249"/>
    <n v="2988"/>
    <n v="203.78"/>
    <x v="57"/>
    <x v="57"/>
  </r>
  <r>
    <s v="ORD-1059"/>
    <d v="2026-02-21T00:00:00"/>
    <x v="0"/>
    <x v="0"/>
    <x v="1"/>
    <s v="Electronics"/>
    <s v="Online"/>
    <n v="6"/>
    <n v="199"/>
    <n v="1194"/>
    <n v="114.4"/>
    <x v="58"/>
    <x v="58"/>
  </r>
  <r>
    <s v="ORD-1060"/>
    <d v="2026-02-16T00:00:00"/>
    <x v="0"/>
    <x v="4"/>
    <x v="4"/>
    <s v="Accessories"/>
    <s v="Corporate"/>
    <n v="8"/>
    <n v="399"/>
    <n v="3192"/>
    <n v="295.2"/>
    <x v="59"/>
    <x v="59"/>
  </r>
  <r>
    <s v="ORD-1061"/>
    <d v="2026-02-19T00:00:00"/>
    <x v="0"/>
    <x v="1"/>
    <x v="1"/>
    <s v="Electronics"/>
    <s v="Corporate"/>
    <n v="5"/>
    <n v="599"/>
    <n v="2995"/>
    <n v="484.84"/>
    <x v="60"/>
    <x v="60"/>
  </r>
  <r>
    <s v="ORD-1062"/>
    <d v="2026-01-15T00:00:00"/>
    <x v="1"/>
    <x v="2"/>
    <x v="5"/>
    <s v="Accessories"/>
    <s v="Online"/>
    <n v="5"/>
    <n v="149"/>
    <n v="745"/>
    <n v="83.54"/>
    <x v="61"/>
    <x v="61"/>
  </r>
  <r>
    <s v="ORD-1063"/>
    <d v="2026-04-10T00:00:00"/>
    <x v="2"/>
    <x v="4"/>
    <x v="0"/>
    <s v="Accessories"/>
    <s v="Online"/>
    <n v="7"/>
    <n v="149"/>
    <n v="1043"/>
    <n v="98.28"/>
    <x v="62"/>
    <x v="62"/>
  </r>
  <r>
    <s v="ORD-1064"/>
    <d v="2026-03-10T00:00:00"/>
    <x v="3"/>
    <x v="4"/>
    <x v="6"/>
    <s v="Furniture"/>
    <s v="Online"/>
    <n v="5"/>
    <n v="49"/>
    <n v="245"/>
    <n v="37.53"/>
    <x v="63"/>
    <x v="63"/>
  </r>
  <r>
    <s v="ORD-1065"/>
    <d v="2026-01-24T00:00:00"/>
    <x v="1"/>
    <x v="2"/>
    <x v="2"/>
    <s v="Furniture"/>
    <s v="Store"/>
    <n v="1"/>
    <n v="75"/>
    <n v="75"/>
    <n v="57.48"/>
    <x v="64"/>
    <x v="64"/>
  </r>
  <r>
    <s v="ORD-1066"/>
    <d v="2026-01-11T00:00:00"/>
    <x v="1"/>
    <x v="2"/>
    <x v="5"/>
    <s v="Accessories"/>
    <s v="Store"/>
    <n v="2"/>
    <n v="399"/>
    <n v="798"/>
    <n v="220.69"/>
    <x v="65"/>
    <x v="65"/>
  </r>
  <r>
    <s v="ORD-1067"/>
    <d v="2026-03-12T00:00:00"/>
    <x v="3"/>
    <x v="4"/>
    <x v="2"/>
    <s v="Furniture"/>
    <s v="Corporate"/>
    <n v="3"/>
    <n v="49"/>
    <n v="147"/>
    <n v="33.92"/>
    <x v="66"/>
    <x v="66"/>
  </r>
  <r>
    <s v="ORD-1068"/>
    <d v="2026-01-31T00:00:00"/>
    <x v="1"/>
    <x v="3"/>
    <x v="3"/>
    <s v="Accessories"/>
    <s v="Store"/>
    <n v="1"/>
    <n v="99"/>
    <n v="99"/>
    <n v="59.84"/>
    <x v="67"/>
    <x v="67"/>
  </r>
  <r>
    <s v="ORD-1069"/>
    <d v="2026-02-09T00:00:00"/>
    <x v="0"/>
    <x v="1"/>
    <x v="7"/>
    <s v="Electronics"/>
    <s v="Online"/>
    <n v="5"/>
    <n v="399"/>
    <n v="1995"/>
    <n v="273.32"/>
    <x v="68"/>
    <x v="68"/>
  </r>
  <r>
    <s v="ORD-1070"/>
    <d v="2026-01-23T00:00:00"/>
    <x v="1"/>
    <x v="4"/>
    <x v="7"/>
    <s v="Electronics"/>
    <s v="Online"/>
    <n v="5"/>
    <n v="49"/>
    <n v="245"/>
    <n v="27.15"/>
    <x v="69"/>
    <x v="69"/>
  </r>
  <r>
    <s v="ORD-1071"/>
    <d v="2026-04-04T00:00:00"/>
    <x v="2"/>
    <x v="1"/>
    <x v="5"/>
    <s v="Accessories"/>
    <s v="Store"/>
    <n v="4"/>
    <n v="399"/>
    <n v="1596"/>
    <n v="230.9"/>
    <x v="70"/>
    <x v="70"/>
  </r>
  <r>
    <s v="ORD-1072"/>
    <d v="2026-04-15T00:00:00"/>
    <x v="2"/>
    <x v="0"/>
    <x v="2"/>
    <s v="Furniture"/>
    <s v="Corporate"/>
    <n v="7"/>
    <n v="599"/>
    <n v="4193"/>
    <n v="379.23"/>
    <x v="71"/>
    <x v="71"/>
  </r>
  <r>
    <s v="ORD-1073"/>
    <d v="2026-01-28T00:00:00"/>
    <x v="1"/>
    <x v="4"/>
    <x v="5"/>
    <s v="Accessories"/>
    <s v="Online"/>
    <n v="12"/>
    <n v="99"/>
    <n v="1188"/>
    <n v="65.27"/>
    <x v="72"/>
    <x v="72"/>
  </r>
  <r>
    <s v="ORD-1074"/>
    <d v="2026-02-14T00:00:00"/>
    <x v="0"/>
    <x v="3"/>
    <x v="4"/>
    <s v="Accessories"/>
    <s v="Online"/>
    <n v="2"/>
    <n v="149"/>
    <n v="298"/>
    <n v="99.28"/>
    <x v="73"/>
    <x v="73"/>
  </r>
  <r>
    <s v="ORD-1075"/>
    <d v="2026-01-08T00:00:00"/>
    <x v="1"/>
    <x v="0"/>
    <x v="3"/>
    <s v="Accessories"/>
    <s v="Corporate"/>
    <n v="11"/>
    <n v="149"/>
    <n v="1639"/>
    <n v="106.04"/>
    <x v="74"/>
    <x v="74"/>
  </r>
  <r>
    <s v="ORD-1076"/>
    <d v="2026-03-30T00:00:00"/>
    <x v="3"/>
    <x v="2"/>
    <x v="7"/>
    <s v="Electronics"/>
    <s v="Store"/>
    <n v="3"/>
    <n v="99"/>
    <n v="297"/>
    <n v="61.64"/>
    <x v="75"/>
    <x v="75"/>
  </r>
  <r>
    <s v="ORD-1077"/>
    <d v="2026-01-01T00:00:00"/>
    <x v="1"/>
    <x v="4"/>
    <x v="7"/>
    <s v="Electronics"/>
    <s v="Store"/>
    <n v="9"/>
    <n v="199"/>
    <n v="1791"/>
    <n v="122.58"/>
    <x v="76"/>
    <x v="76"/>
  </r>
  <r>
    <s v="ORD-1078"/>
    <d v="2026-04-23T00:00:00"/>
    <x v="2"/>
    <x v="3"/>
    <x v="7"/>
    <s v="Electronics"/>
    <s v="Store"/>
    <n v="3"/>
    <n v="49"/>
    <n v="147"/>
    <n v="31.39"/>
    <x v="77"/>
    <x v="77"/>
  </r>
  <r>
    <s v="ORD-1079"/>
    <d v="2026-01-11T00:00:00"/>
    <x v="1"/>
    <x v="4"/>
    <x v="6"/>
    <s v="Furniture"/>
    <s v="Corporate"/>
    <n v="11"/>
    <n v="129"/>
    <n v="1419"/>
    <n v="79.59"/>
    <x v="78"/>
    <x v="78"/>
  </r>
  <r>
    <s v="ORD-1080"/>
    <d v="2026-04-10T00:00:00"/>
    <x v="2"/>
    <x v="2"/>
    <x v="4"/>
    <s v="Accessories"/>
    <s v="Store"/>
    <n v="2"/>
    <n v="99"/>
    <n v="198"/>
    <n v="65.13"/>
    <x v="79"/>
    <x v="79"/>
  </r>
  <r>
    <s v="ORD-1081"/>
    <d v="2026-01-06T00:00:00"/>
    <x v="1"/>
    <x v="2"/>
    <x v="2"/>
    <s v="Furniture"/>
    <s v="Store"/>
    <n v="5"/>
    <n v="129"/>
    <n v="645"/>
    <n v="73.89"/>
    <x v="80"/>
    <x v="80"/>
  </r>
  <r>
    <s v="ORD-1082"/>
    <d v="2026-03-09T00:00:00"/>
    <x v="3"/>
    <x v="1"/>
    <x v="0"/>
    <s v="Accessories"/>
    <s v="Store"/>
    <n v="6"/>
    <n v="399"/>
    <n v="2394"/>
    <n v="235.55"/>
    <x v="81"/>
    <x v="81"/>
  </r>
  <r>
    <s v="ORD-1083"/>
    <d v="2026-04-03T00:00:00"/>
    <x v="2"/>
    <x v="2"/>
    <x v="0"/>
    <s v="Accessories"/>
    <s v="Corporate"/>
    <n v="9"/>
    <n v="249"/>
    <n v="2241"/>
    <n v="186.29"/>
    <x v="82"/>
    <x v="82"/>
  </r>
  <r>
    <s v="ORD-1084"/>
    <d v="2026-04-14T00:00:00"/>
    <x v="2"/>
    <x v="1"/>
    <x v="0"/>
    <s v="Accessories"/>
    <s v="Corporate"/>
    <n v="10"/>
    <n v="49"/>
    <n v="490"/>
    <n v="37.880000000000003"/>
    <x v="83"/>
    <x v="83"/>
  </r>
  <r>
    <s v="ORD-1085"/>
    <d v="2026-03-16T00:00:00"/>
    <x v="3"/>
    <x v="2"/>
    <x v="5"/>
    <s v="Accessories"/>
    <s v="Online"/>
    <n v="1"/>
    <n v="99"/>
    <n v="99"/>
    <n v="71.48"/>
    <x v="84"/>
    <x v="84"/>
  </r>
  <r>
    <s v="ORD-1086"/>
    <d v="2026-01-14T00:00:00"/>
    <x v="1"/>
    <x v="0"/>
    <x v="2"/>
    <s v="Furniture"/>
    <s v="Corporate"/>
    <n v="1"/>
    <n v="49"/>
    <n v="49"/>
    <n v="35.229999999999997"/>
    <x v="85"/>
    <x v="85"/>
  </r>
  <r>
    <s v="ORD-1087"/>
    <d v="2026-03-29T00:00:00"/>
    <x v="3"/>
    <x v="0"/>
    <x v="5"/>
    <s v="Accessories"/>
    <s v="Store"/>
    <n v="1"/>
    <n v="399"/>
    <n v="399"/>
    <n v="305.39"/>
    <x v="86"/>
    <x v="86"/>
  </r>
  <r>
    <s v="ORD-1088"/>
    <d v="2026-04-06T00:00:00"/>
    <x v="2"/>
    <x v="1"/>
    <x v="3"/>
    <s v="Accessories"/>
    <s v="Online"/>
    <n v="12"/>
    <n v="399"/>
    <n v="4788"/>
    <n v="246.62"/>
    <x v="87"/>
    <x v="87"/>
  </r>
  <r>
    <s v="ORD-1089"/>
    <d v="2026-01-10T00:00:00"/>
    <x v="1"/>
    <x v="3"/>
    <x v="7"/>
    <s v="Electronics"/>
    <s v="Corporate"/>
    <n v="4"/>
    <n v="129"/>
    <n v="516"/>
    <n v="96.72"/>
    <x v="88"/>
    <x v="88"/>
  </r>
  <r>
    <s v="ORD-1090"/>
    <d v="2026-02-28T00:00:00"/>
    <x v="0"/>
    <x v="0"/>
    <x v="6"/>
    <s v="Furniture"/>
    <s v="Online"/>
    <n v="8"/>
    <n v="149"/>
    <n v="1192"/>
    <n v="112.81"/>
    <x v="89"/>
    <x v="89"/>
  </r>
  <r>
    <s v="ORD-1091"/>
    <d v="2026-03-20T00:00:00"/>
    <x v="3"/>
    <x v="2"/>
    <x v="5"/>
    <s v="Accessories"/>
    <s v="Corporate"/>
    <n v="3"/>
    <n v="199"/>
    <n v="597"/>
    <n v="123.09"/>
    <x v="90"/>
    <x v="90"/>
  </r>
  <r>
    <s v="ORD-1092"/>
    <d v="2026-04-06T00:00:00"/>
    <x v="2"/>
    <x v="1"/>
    <x v="7"/>
    <s v="Electronics"/>
    <s v="Corporate"/>
    <n v="3"/>
    <n v="49"/>
    <n v="147"/>
    <n v="33.33"/>
    <x v="91"/>
    <x v="91"/>
  </r>
  <r>
    <s v="ORD-1093"/>
    <d v="2026-03-04T00:00:00"/>
    <x v="3"/>
    <x v="2"/>
    <x v="7"/>
    <s v="Electronics"/>
    <s v="Corporate"/>
    <n v="4"/>
    <n v="399"/>
    <n v="1596"/>
    <n v="250.78"/>
    <x v="92"/>
    <x v="92"/>
  </r>
  <r>
    <s v="ORD-1094"/>
    <d v="2026-03-08T00:00:00"/>
    <x v="3"/>
    <x v="0"/>
    <x v="7"/>
    <s v="Electronics"/>
    <s v="Store"/>
    <n v="8"/>
    <n v="75"/>
    <n v="600"/>
    <n v="61.36"/>
    <x v="93"/>
    <x v="93"/>
  </r>
  <r>
    <s v="ORD-1095"/>
    <d v="2026-03-12T00:00:00"/>
    <x v="3"/>
    <x v="4"/>
    <x v="5"/>
    <s v="Accessories"/>
    <s v="Online"/>
    <n v="8"/>
    <n v="49"/>
    <n v="392"/>
    <n v="30.78"/>
    <x v="94"/>
    <x v="94"/>
  </r>
  <r>
    <s v="ORD-1096"/>
    <d v="2026-01-10T00:00:00"/>
    <x v="1"/>
    <x v="4"/>
    <x v="6"/>
    <s v="Furniture"/>
    <s v="Store"/>
    <n v="4"/>
    <n v="129"/>
    <n v="516"/>
    <n v="73.55"/>
    <x v="95"/>
    <x v="95"/>
  </r>
  <r>
    <s v="ORD-1097"/>
    <d v="2026-01-12T00:00:00"/>
    <x v="1"/>
    <x v="1"/>
    <x v="0"/>
    <s v="Accessories"/>
    <s v="Store"/>
    <n v="6"/>
    <n v="99"/>
    <n v="594"/>
    <n v="70.58"/>
    <x v="96"/>
    <x v="96"/>
  </r>
  <r>
    <s v="ORD-1098"/>
    <d v="2026-03-22T00:00:00"/>
    <x v="3"/>
    <x v="2"/>
    <x v="7"/>
    <s v="Electronics"/>
    <s v="Corporate"/>
    <n v="6"/>
    <n v="129"/>
    <n v="774"/>
    <n v="88.29"/>
    <x v="97"/>
    <x v="97"/>
  </r>
  <r>
    <s v="ORD-1099"/>
    <d v="2026-04-23T00:00:00"/>
    <x v="2"/>
    <x v="0"/>
    <x v="6"/>
    <s v="Furniture"/>
    <s v="Online"/>
    <n v="3"/>
    <n v="49"/>
    <n v="147"/>
    <n v="39.520000000000003"/>
    <x v="98"/>
    <x v="98"/>
  </r>
  <r>
    <s v="ORD-1100"/>
    <d v="2026-03-29T00:00:00"/>
    <x v="3"/>
    <x v="0"/>
    <x v="6"/>
    <s v="Furniture"/>
    <s v="Store"/>
    <n v="12"/>
    <n v="99"/>
    <n v="1188"/>
    <n v="65.569999999999993"/>
    <x v="99"/>
    <x v="99"/>
  </r>
  <r>
    <s v="ORD-1101"/>
    <d v="2026-02-18T00:00:00"/>
    <x v="0"/>
    <x v="2"/>
    <x v="1"/>
    <s v="Electronics"/>
    <s v="Store"/>
    <n v="1"/>
    <n v="199"/>
    <n v="199"/>
    <n v="149.79"/>
    <x v="100"/>
    <x v="100"/>
  </r>
  <r>
    <s v="ORD-1102"/>
    <d v="2026-04-18T00:00:00"/>
    <x v="2"/>
    <x v="2"/>
    <x v="2"/>
    <s v="Furniture"/>
    <s v="Online"/>
    <n v="12"/>
    <n v="49"/>
    <n v="588"/>
    <n v="38.880000000000003"/>
    <x v="101"/>
    <x v="101"/>
  </r>
  <r>
    <s v="ORD-1103"/>
    <d v="2026-02-07T00:00:00"/>
    <x v="0"/>
    <x v="4"/>
    <x v="7"/>
    <s v="Electronics"/>
    <s v="Online"/>
    <n v="7"/>
    <n v="249"/>
    <n v="1743"/>
    <n v="204.1"/>
    <x v="102"/>
    <x v="102"/>
  </r>
  <r>
    <s v="ORD-1104"/>
    <d v="2026-03-17T00:00:00"/>
    <x v="3"/>
    <x v="4"/>
    <x v="3"/>
    <s v="Accessories"/>
    <s v="Store"/>
    <n v="5"/>
    <n v="49"/>
    <n v="245"/>
    <n v="30.66"/>
    <x v="103"/>
    <x v="103"/>
  </r>
  <r>
    <s v="ORD-1105"/>
    <d v="2026-01-07T00:00:00"/>
    <x v="1"/>
    <x v="3"/>
    <x v="7"/>
    <s v="Electronics"/>
    <s v="Online"/>
    <n v="5"/>
    <n v="249"/>
    <n v="1245"/>
    <n v="171.3"/>
    <x v="104"/>
    <x v="104"/>
  </r>
  <r>
    <s v="ORD-1106"/>
    <d v="2026-01-25T00:00:00"/>
    <x v="1"/>
    <x v="0"/>
    <x v="1"/>
    <s v="Electronics"/>
    <s v="Online"/>
    <n v="11"/>
    <n v="249"/>
    <n v="2739"/>
    <n v="198.36"/>
    <x v="105"/>
    <x v="105"/>
  </r>
  <r>
    <s v="ORD-1107"/>
    <d v="2026-03-12T00:00:00"/>
    <x v="3"/>
    <x v="2"/>
    <x v="5"/>
    <s v="Accessories"/>
    <s v="Online"/>
    <n v="12"/>
    <n v="249"/>
    <n v="2988"/>
    <n v="167.26"/>
    <x v="106"/>
    <x v="106"/>
  </r>
  <r>
    <s v="ORD-1108"/>
    <d v="2026-04-07T00:00:00"/>
    <x v="2"/>
    <x v="4"/>
    <x v="0"/>
    <s v="Accessories"/>
    <s v="Store"/>
    <n v="1"/>
    <n v="599"/>
    <n v="599"/>
    <n v="350.04"/>
    <x v="107"/>
    <x v="107"/>
  </r>
  <r>
    <s v="ORD-1109"/>
    <d v="2026-03-02T00:00:00"/>
    <x v="3"/>
    <x v="4"/>
    <x v="2"/>
    <s v="Furniture"/>
    <s v="Store"/>
    <n v="5"/>
    <n v="149"/>
    <n v="745"/>
    <n v="111.68"/>
    <x v="108"/>
    <x v="108"/>
  </r>
  <r>
    <s v="ORD-1110"/>
    <d v="2026-03-25T00:00:00"/>
    <x v="3"/>
    <x v="0"/>
    <x v="7"/>
    <s v="Electronics"/>
    <s v="Corporate"/>
    <n v="4"/>
    <n v="149"/>
    <n v="596"/>
    <n v="101.39"/>
    <x v="109"/>
    <x v="109"/>
  </r>
  <r>
    <s v="ORD-1111"/>
    <d v="2026-03-27T00:00:00"/>
    <x v="3"/>
    <x v="2"/>
    <x v="2"/>
    <s v="Furniture"/>
    <s v="Online"/>
    <n v="11"/>
    <n v="99"/>
    <n v="1089"/>
    <n v="56.46"/>
    <x v="110"/>
    <x v="110"/>
  </r>
  <r>
    <s v="ORD-1112"/>
    <d v="2026-03-06T00:00:00"/>
    <x v="3"/>
    <x v="1"/>
    <x v="6"/>
    <s v="Furniture"/>
    <s v="Online"/>
    <n v="8"/>
    <n v="199"/>
    <n v="1592"/>
    <n v="162.99"/>
    <x v="111"/>
    <x v="111"/>
  </r>
  <r>
    <s v="ORD-1113"/>
    <d v="2026-02-27T00:00:00"/>
    <x v="0"/>
    <x v="3"/>
    <x v="2"/>
    <s v="Furniture"/>
    <s v="Corporate"/>
    <n v="4"/>
    <n v="129"/>
    <n v="516"/>
    <n v="74.11"/>
    <x v="112"/>
    <x v="112"/>
  </r>
  <r>
    <s v="ORD-1114"/>
    <d v="2026-02-13T00:00:00"/>
    <x v="0"/>
    <x v="4"/>
    <x v="3"/>
    <s v="Accessories"/>
    <s v="Online"/>
    <n v="6"/>
    <n v="149"/>
    <n v="894"/>
    <n v="114.51"/>
    <x v="113"/>
    <x v="113"/>
  </r>
  <r>
    <s v="ORD-1115"/>
    <d v="2026-01-26T00:00:00"/>
    <x v="1"/>
    <x v="0"/>
    <x v="4"/>
    <s v="Accessories"/>
    <s v="Store"/>
    <n v="7"/>
    <n v="599"/>
    <n v="4193"/>
    <n v="363.41"/>
    <x v="114"/>
    <x v="114"/>
  </r>
  <r>
    <s v="ORD-1116"/>
    <d v="2026-02-04T00:00:00"/>
    <x v="0"/>
    <x v="2"/>
    <x v="1"/>
    <s v="Electronics"/>
    <s v="Store"/>
    <n v="5"/>
    <n v="199"/>
    <n v="995"/>
    <n v="116.21"/>
    <x v="115"/>
    <x v="115"/>
  </r>
  <r>
    <s v="ORD-1117"/>
    <d v="2026-03-06T00:00:00"/>
    <x v="3"/>
    <x v="2"/>
    <x v="5"/>
    <s v="Accessories"/>
    <s v="Store"/>
    <n v="4"/>
    <n v="249"/>
    <n v="996"/>
    <n v="163.83000000000001"/>
    <x v="116"/>
    <x v="116"/>
  </r>
  <r>
    <s v="ORD-1118"/>
    <d v="2026-02-27T00:00:00"/>
    <x v="0"/>
    <x v="4"/>
    <x v="2"/>
    <s v="Furniture"/>
    <s v="Online"/>
    <n v="3"/>
    <n v="49"/>
    <n v="147"/>
    <n v="32.58"/>
    <x v="117"/>
    <x v="117"/>
  </r>
  <r>
    <s v="ORD-1119"/>
    <d v="2026-04-08T00:00:00"/>
    <x v="2"/>
    <x v="1"/>
    <x v="6"/>
    <s v="Furniture"/>
    <s v="Store"/>
    <n v="1"/>
    <n v="75"/>
    <n v="75"/>
    <n v="49.18"/>
    <x v="118"/>
    <x v="118"/>
  </r>
  <r>
    <s v="ORD-1120"/>
    <d v="2026-04-29T00:00:00"/>
    <x v="2"/>
    <x v="0"/>
    <x v="6"/>
    <s v="Furniture"/>
    <s v="Online"/>
    <n v="2"/>
    <n v="129"/>
    <n v="258"/>
    <n v="76.33"/>
    <x v="119"/>
    <x v="119"/>
  </r>
  <r>
    <s v="ORD-1121"/>
    <d v="2026-03-08T00:00:00"/>
    <x v="3"/>
    <x v="0"/>
    <x v="3"/>
    <s v="Accessories"/>
    <s v="Online"/>
    <n v="9"/>
    <n v="49"/>
    <n v="441"/>
    <n v="26.97"/>
    <x v="120"/>
    <x v="120"/>
  </r>
  <r>
    <s v="ORD-1122"/>
    <d v="2026-01-17T00:00:00"/>
    <x v="1"/>
    <x v="1"/>
    <x v="5"/>
    <s v="Accessories"/>
    <s v="Online"/>
    <n v="11"/>
    <n v="149"/>
    <n v="1639"/>
    <n v="120.67"/>
    <x v="121"/>
    <x v="121"/>
  </r>
  <r>
    <s v="ORD-1123"/>
    <d v="2026-03-22T00:00:00"/>
    <x v="3"/>
    <x v="1"/>
    <x v="7"/>
    <s v="Electronics"/>
    <s v="Corporate"/>
    <n v="7"/>
    <n v="75"/>
    <n v="525"/>
    <n v="43.26"/>
    <x v="122"/>
    <x v="122"/>
  </r>
  <r>
    <s v="ORD-1124"/>
    <d v="2026-02-08T00:00:00"/>
    <x v="0"/>
    <x v="0"/>
    <x v="5"/>
    <s v="Accessories"/>
    <s v="Store"/>
    <n v="4"/>
    <n v="49"/>
    <n v="196"/>
    <n v="27.09"/>
    <x v="123"/>
    <x v="123"/>
  </r>
  <r>
    <s v="ORD-1125"/>
    <d v="2026-02-08T00:00:00"/>
    <x v="0"/>
    <x v="4"/>
    <x v="6"/>
    <s v="Furniture"/>
    <s v="Store"/>
    <n v="11"/>
    <n v="129"/>
    <n v="1419"/>
    <n v="87.5"/>
    <x v="124"/>
    <x v="124"/>
  </r>
  <r>
    <s v="ORD-1126"/>
    <d v="2026-01-31T00:00:00"/>
    <x v="1"/>
    <x v="2"/>
    <x v="5"/>
    <s v="Accessories"/>
    <s v="Store"/>
    <n v="12"/>
    <n v="149"/>
    <n v="1788"/>
    <n v="84.18"/>
    <x v="125"/>
    <x v="125"/>
  </r>
  <r>
    <s v="ORD-1127"/>
    <d v="2026-01-25T00:00:00"/>
    <x v="1"/>
    <x v="0"/>
    <x v="6"/>
    <s v="Furniture"/>
    <s v="Online"/>
    <n v="5"/>
    <n v="129"/>
    <n v="645"/>
    <n v="94.19"/>
    <x v="126"/>
    <x v="126"/>
  </r>
  <r>
    <s v="ORD-1128"/>
    <d v="2026-04-29T00:00:00"/>
    <x v="2"/>
    <x v="3"/>
    <x v="1"/>
    <s v="Electronics"/>
    <s v="Store"/>
    <n v="1"/>
    <n v="199"/>
    <n v="199"/>
    <n v="148.05000000000001"/>
    <x v="127"/>
    <x v="127"/>
  </r>
  <r>
    <s v="ORD-1129"/>
    <d v="2026-02-16T00:00:00"/>
    <x v="0"/>
    <x v="3"/>
    <x v="2"/>
    <s v="Furniture"/>
    <s v="Online"/>
    <n v="5"/>
    <n v="599"/>
    <n v="2995"/>
    <n v="340.36"/>
    <x v="128"/>
    <x v="128"/>
  </r>
  <r>
    <s v="ORD-1130"/>
    <d v="2026-03-05T00:00:00"/>
    <x v="3"/>
    <x v="4"/>
    <x v="5"/>
    <s v="Accessories"/>
    <s v="Online"/>
    <n v="4"/>
    <n v="399"/>
    <n v="1596"/>
    <n v="243.31"/>
    <x v="129"/>
    <x v="129"/>
  </r>
  <r>
    <s v="ORD-1131"/>
    <d v="2026-04-08T00:00:00"/>
    <x v="2"/>
    <x v="2"/>
    <x v="7"/>
    <s v="Electronics"/>
    <s v="Corporate"/>
    <n v="8"/>
    <n v="99"/>
    <n v="792"/>
    <n v="78.41"/>
    <x v="130"/>
    <x v="130"/>
  </r>
  <r>
    <s v="ORD-1132"/>
    <d v="2026-03-04T00:00:00"/>
    <x v="3"/>
    <x v="2"/>
    <x v="2"/>
    <s v="Furniture"/>
    <s v="Corporate"/>
    <n v="3"/>
    <n v="249"/>
    <n v="747"/>
    <n v="140.6"/>
    <x v="131"/>
    <x v="131"/>
  </r>
  <r>
    <s v="ORD-1133"/>
    <d v="2026-01-04T00:00:00"/>
    <x v="1"/>
    <x v="0"/>
    <x v="0"/>
    <s v="Accessories"/>
    <s v="Online"/>
    <n v="12"/>
    <n v="49"/>
    <n v="588"/>
    <n v="29.39"/>
    <x v="132"/>
    <x v="132"/>
  </r>
  <r>
    <s v="ORD-1134"/>
    <d v="2026-02-27T00:00:00"/>
    <x v="0"/>
    <x v="2"/>
    <x v="1"/>
    <s v="Electronics"/>
    <s v="Online"/>
    <n v="3"/>
    <n v="199"/>
    <n v="597"/>
    <n v="119.7"/>
    <x v="133"/>
    <x v="133"/>
  </r>
  <r>
    <s v="ORD-1135"/>
    <d v="2026-03-25T00:00:00"/>
    <x v="3"/>
    <x v="2"/>
    <x v="6"/>
    <s v="Furniture"/>
    <s v="Store"/>
    <n v="11"/>
    <n v="249"/>
    <n v="2739"/>
    <n v="193.36"/>
    <x v="134"/>
    <x v="134"/>
  </r>
  <r>
    <s v="ORD-1136"/>
    <d v="2026-02-12T00:00:00"/>
    <x v="0"/>
    <x v="3"/>
    <x v="6"/>
    <s v="Furniture"/>
    <s v="Online"/>
    <n v="1"/>
    <n v="75"/>
    <n v="75"/>
    <n v="46.92"/>
    <x v="135"/>
    <x v="135"/>
  </r>
  <r>
    <s v="ORD-1137"/>
    <d v="2026-02-14T00:00:00"/>
    <x v="0"/>
    <x v="2"/>
    <x v="2"/>
    <s v="Furniture"/>
    <s v="Corporate"/>
    <n v="4"/>
    <n v="249"/>
    <n v="996"/>
    <n v="160.93"/>
    <x v="136"/>
    <x v="136"/>
  </r>
  <r>
    <s v="ORD-1138"/>
    <d v="2026-04-16T00:00:00"/>
    <x v="2"/>
    <x v="0"/>
    <x v="7"/>
    <s v="Electronics"/>
    <s v="Online"/>
    <n v="1"/>
    <n v="399"/>
    <n v="399"/>
    <n v="240.53"/>
    <x v="137"/>
    <x v="137"/>
  </r>
  <r>
    <s v="ORD-1139"/>
    <d v="2026-03-11T00:00:00"/>
    <x v="3"/>
    <x v="3"/>
    <x v="6"/>
    <s v="Furniture"/>
    <s v="Store"/>
    <n v="6"/>
    <n v="399"/>
    <n v="2394"/>
    <n v="222.71"/>
    <x v="138"/>
    <x v="138"/>
  </r>
  <r>
    <s v="ORD-1140"/>
    <d v="2026-02-22T00:00:00"/>
    <x v="0"/>
    <x v="0"/>
    <x v="5"/>
    <s v="Accessories"/>
    <s v="Online"/>
    <n v="7"/>
    <n v="49"/>
    <n v="343"/>
    <n v="33.090000000000003"/>
    <x v="139"/>
    <x v="139"/>
  </r>
  <r>
    <s v="ORD-1141"/>
    <d v="2026-04-13T00:00:00"/>
    <x v="2"/>
    <x v="4"/>
    <x v="4"/>
    <s v="Accessories"/>
    <s v="Online"/>
    <n v="12"/>
    <n v="75"/>
    <n v="900"/>
    <n v="59.45"/>
    <x v="108"/>
    <x v="140"/>
  </r>
  <r>
    <s v="ORD-1142"/>
    <d v="2026-02-13T00:00:00"/>
    <x v="0"/>
    <x v="4"/>
    <x v="1"/>
    <s v="Electronics"/>
    <s v="Store"/>
    <n v="10"/>
    <n v="49"/>
    <n v="490"/>
    <n v="30.42"/>
    <x v="140"/>
    <x v="141"/>
  </r>
  <r>
    <s v="ORD-1143"/>
    <d v="2026-04-02T00:00:00"/>
    <x v="2"/>
    <x v="4"/>
    <x v="1"/>
    <s v="Electronics"/>
    <s v="Store"/>
    <n v="1"/>
    <n v="75"/>
    <n v="75"/>
    <n v="41.74"/>
    <x v="141"/>
    <x v="142"/>
  </r>
  <r>
    <s v="ORD-1144"/>
    <d v="2026-01-30T00:00:00"/>
    <x v="1"/>
    <x v="0"/>
    <x v="3"/>
    <s v="Accessories"/>
    <s v="Corporate"/>
    <n v="8"/>
    <n v="249"/>
    <n v="1992"/>
    <n v="190.05"/>
    <x v="142"/>
    <x v="143"/>
  </r>
  <r>
    <s v="ORD-1145"/>
    <d v="2026-04-27T00:00:00"/>
    <x v="2"/>
    <x v="0"/>
    <x v="2"/>
    <s v="Furniture"/>
    <s v="Online"/>
    <n v="8"/>
    <n v="99"/>
    <n v="792"/>
    <n v="54.68"/>
    <x v="143"/>
    <x v="144"/>
  </r>
  <r>
    <s v="ORD-1146"/>
    <d v="2026-04-30T00:00:00"/>
    <x v="2"/>
    <x v="3"/>
    <x v="7"/>
    <s v="Electronics"/>
    <s v="Corporate"/>
    <n v="4"/>
    <n v="199"/>
    <n v="796"/>
    <n v="155.72"/>
    <x v="144"/>
    <x v="145"/>
  </r>
  <r>
    <s v="ORD-1147"/>
    <d v="2026-02-28T00:00:00"/>
    <x v="0"/>
    <x v="1"/>
    <x v="1"/>
    <s v="Electronics"/>
    <s v="Online"/>
    <n v="9"/>
    <n v="129"/>
    <n v="1161"/>
    <n v="84.59"/>
    <x v="145"/>
    <x v="146"/>
  </r>
  <r>
    <s v="ORD-1148"/>
    <d v="2026-01-21T00:00:00"/>
    <x v="1"/>
    <x v="0"/>
    <x v="5"/>
    <s v="Accessories"/>
    <s v="Online"/>
    <n v="11"/>
    <n v="49"/>
    <n v="539"/>
    <n v="33.32"/>
    <x v="146"/>
    <x v="147"/>
  </r>
  <r>
    <s v="ORD-1149"/>
    <d v="2026-03-11T00:00:00"/>
    <x v="3"/>
    <x v="3"/>
    <x v="1"/>
    <s v="Electronics"/>
    <s v="Store"/>
    <n v="2"/>
    <n v="75"/>
    <n v="150"/>
    <n v="46.61"/>
    <x v="147"/>
    <x v="148"/>
  </r>
  <r>
    <s v="ORD-1150"/>
    <d v="2026-01-11T00:00:00"/>
    <x v="1"/>
    <x v="2"/>
    <x v="5"/>
    <s v="Accessories"/>
    <s v="Store"/>
    <n v="8"/>
    <n v="399"/>
    <n v="3192"/>
    <n v="238.11"/>
    <x v="148"/>
    <x v="1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82309-6748-4AAE-BBEB-4E488272834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4:F9" firstHeaderRow="1" firstDataRow="1" firstDataCol="1"/>
  <pivotFields count="13">
    <pivotField showAll="0"/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numFmtId="4" showAll="0"/>
    <pivotField dataField="1" numFmtId="4" showAll="0"/>
    <pivotField numFmtId="4" showAll="0"/>
    <pivotField numFmtId="4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44C7E-5D5E-4448-AAD4-6AFF1AD33AE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4:B20" firstHeaderRow="1" firstDataRow="1" firstDataCol="1"/>
  <pivotFields count="13">
    <pivotField showAll="0"/>
    <pivotField numFmtId="164"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numFmtId="4" showAll="0"/>
    <pivotField dataField="1" numFmtId="4" showAll="0"/>
    <pivotField numFmtId="4" showAll="0"/>
    <pivotField numFmtId="4" showAll="0"/>
    <pivotField numFmtId="165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83B30-E09C-49A9-8980-D4BE2321F6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3">
    <pivotField showAll="0"/>
    <pivotField numFmtId="164" showAll="0"/>
    <pivotField showAll="0"/>
    <pivotField showAll="0"/>
    <pivotField axis="axisRow" showAll="0">
      <items count="9">
        <item x="6"/>
        <item x="1"/>
        <item x="0"/>
        <item x="4"/>
        <item x="7"/>
        <item x="2"/>
        <item x="5"/>
        <item x="3"/>
        <item t="default"/>
      </items>
    </pivotField>
    <pivotField showAll="0"/>
    <pivotField showAll="0"/>
    <pivotField showAll="0"/>
    <pivotField numFmtId="4" showAll="0"/>
    <pivotField dataField="1" numFmtId="4" showAll="0"/>
    <pivotField numFmtId="4" showAll="0"/>
    <pivotField numFmtId="4" showAll="0">
      <items count="150">
        <item x="85"/>
        <item x="0"/>
        <item x="64"/>
        <item x="118"/>
        <item x="84"/>
        <item x="135"/>
        <item x="98"/>
        <item x="141"/>
        <item x="67"/>
        <item x="66"/>
        <item x="10"/>
        <item x="91"/>
        <item x="100"/>
        <item x="117"/>
        <item x="127"/>
        <item x="77"/>
        <item x="147"/>
        <item x="63"/>
        <item x="11"/>
        <item x="79"/>
        <item x="19"/>
        <item x="123"/>
        <item x="103"/>
        <item x="86"/>
        <item x="73"/>
        <item x="8"/>
        <item x="119"/>
        <item x="50"/>
        <item x="93"/>
        <item x="69"/>
        <item x="83"/>
        <item x="139"/>
        <item x="75"/>
        <item x="35"/>
        <item x="32"/>
        <item x="37"/>
        <item x="101"/>
        <item x="47"/>
        <item x="24"/>
        <item x="25"/>
        <item x="88"/>
        <item x="16"/>
        <item x="23"/>
        <item x="42"/>
        <item x="94"/>
        <item x="36"/>
        <item x="137"/>
        <item x="3"/>
        <item x="130"/>
        <item x="15"/>
        <item x="96"/>
        <item x="146"/>
        <item x="144"/>
        <item x="126"/>
        <item x="140"/>
        <item x="108"/>
        <item x="43"/>
        <item x="109"/>
        <item x="49"/>
        <item x="120"/>
        <item x="6"/>
        <item x="113"/>
        <item x="30"/>
        <item x="112"/>
        <item x="95"/>
        <item x="122"/>
        <item x="90"/>
        <item x="18"/>
        <item x="39"/>
        <item x="21"/>
        <item x="132"/>
        <item x="133"/>
        <item x="97"/>
        <item x="107"/>
        <item x="13"/>
        <item x="34"/>
        <item x="53"/>
        <item x="80"/>
        <item x="26"/>
        <item x="28"/>
        <item x="111"/>
        <item x="89"/>
        <item x="44"/>
        <item x="14"/>
        <item x="56"/>
        <item x="121"/>
        <item x="102"/>
        <item x="131"/>
        <item x="61"/>
        <item x="4"/>
        <item x="116"/>
        <item x="136"/>
        <item x="143"/>
        <item x="62"/>
        <item x="65"/>
        <item x="20"/>
        <item x="5"/>
        <item x="104"/>
        <item x="145"/>
        <item x="99"/>
        <item x="2"/>
        <item x="33"/>
        <item x="72"/>
        <item x="115"/>
        <item x="124"/>
        <item x="110"/>
        <item x="142"/>
        <item x="74"/>
        <item x="54"/>
        <item x="58"/>
        <item x="1"/>
        <item x="7"/>
        <item x="57"/>
        <item x="78"/>
        <item x="105"/>
        <item x="82"/>
        <item x="60"/>
        <item x="92"/>
        <item x="38"/>
        <item x="17"/>
        <item x="134"/>
        <item x="129"/>
        <item x="68"/>
        <item x="70"/>
        <item x="76"/>
        <item x="12"/>
        <item x="31"/>
        <item x="9"/>
        <item x="22"/>
        <item x="125"/>
        <item x="59"/>
        <item x="29"/>
        <item x="40"/>
        <item x="81"/>
        <item x="106"/>
        <item x="55"/>
        <item x="27"/>
        <item x="138"/>
        <item x="48"/>
        <item x="52"/>
        <item x="148"/>
        <item x="128"/>
        <item x="71"/>
        <item x="114"/>
        <item x="51"/>
        <item x="87"/>
        <item x="45"/>
        <item x="41"/>
        <item x="46"/>
        <item t="default"/>
      </items>
    </pivotField>
    <pivotField numFmtId="165" showAll="0">
      <items count="151">
        <item x="102"/>
        <item x="111"/>
        <item x="57"/>
        <item x="93"/>
        <item x="42"/>
        <item x="18"/>
        <item x="121"/>
        <item x="11"/>
        <item x="60"/>
        <item x="21"/>
        <item x="98"/>
        <item x="105"/>
        <item x="101"/>
        <item x="140"/>
        <item x="130"/>
        <item x="9"/>
        <item x="145"/>
        <item x="134"/>
        <item x="83"/>
        <item x="0"/>
        <item x="32"/>
        <item x="113"/>
        <item x="40"/>
        <item x="64"/>
        <item x="63"/>
        <item x="86"/>
        <item x="143"/>
        <item x="37"/>
        <item x="7"/>
        <item x="89"/>
        <item x="50"/>
        <item x="100"/>
        <item x="88"/>
        <item x="108"/>
        <item x="82"/>
        <item x="33"/>
        <item x="39"/>
        <item x="127"/>
        <item x="14"/>
        <item x="59"/>
        <item x="8"/>
        <item x="30"/>
        <item x="126"/>
        <item x="84"/>
        <item x="85"/>
        <item x="15"/>
        <item x="51"/>
        <item x="96"/>
        <item x="26"/>
        <item x="74"/>
        <item x="12"/>
        <item x="3"/>
        <item x="6"/>
        <item x="17"/>
        <item x="31"/>
        <item x="48"/>
        <item x="66"/>
        <item x="10"/>
        <item x="104"/>
        <item x="52"/>
        <item x="43"/>
        <item x="68"/>
        <item x="97"/>
        <item x="27"/>
        <item x="109"/>
        <item x="91"/>
        <item x="147"/>
        <item x="36"/>
        <item x="28"/>
        <item x="124"/>
        <item x="139"/>
        <item x="106"/>
        <item x="34"/>
        <item x="73"/>
        <item x="54"/>
        <item x="117"/>
        <item x="2"/>
        <item x="45"/>
        <item x="53"/>
        <item x="99"/>
        <item x="62"/>
        <item x="72"/>
        <item x="116"/>
        <item x="79"/>
        <item x="22"/>
        <item x="56"/>
        <item x="16"/>
        <item x="146"/>
        <item x="118"/>
        <item x="29"/>
        <item x="136"/>
        <item x="77"/>
        <item x="71"/>
        <item x="92"/>
        <item x="4"/>
        <item x="94"/>
        <item x="103"/>
        <item x="135"/>
        <item x="49"/>
        <item x="75"/>
        <item x="148"/>
        <item x="20"/>
        <item x="141"/>
        <item x="90"/>
        <item x="87"/>
        <item x="78"/>
        <item x="76"/>
        <item x="35"/>
        <item x="129"/>
        <item x="114"/>
        <item x="67"/>
        <item x="137"/>
        <item x="133"/>
        <item x="23"/>
        <item x="132"/>
        <item x="149"/>
        <item x="119"/>
        <item x="19"/>
        <item x="81"/>
        <item x="55"/>
        <item x="47"/>
        <item x="41"/>
        <item x="107"/>
        <item x="115"/>
        <item x="70"/>
        <item x="5"/>
        <item x="24"/>
        <item x="122"/>
        <item x="58"/>
        <item x="112"/>
        <item x="38"/>
        <item x="80"/>
        <item x="110"/>
        <item x="95"/>
        <item x="25"/>
        <item x="128"/>
        <item x="44"/>
        <item x="13"/>
        <item x="125"/>
        <item x="131"/>
        <item x="61"/>
        <item x="1"/>
        <item x="138"/>
        <item x="142"/>
        <item x="46"/>
        <item x="69"/>
        <item x="65"/>
        <item x="123"/>
        <item x="144"/>
        <item x="120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M151">
  <tableColumns count="13">
    <tableColumn id="1" xr3:uid="{00000000-0010-0000-0000-000001000000}" name="Order ID"/>
    <tableColumn id="2" xr3:uid="{00000000-0010-0000-0000-000002000000}" name="Date"/>
    <tableColumn id="3" xr3:uid="{00000000-0010-0000-0000-000003000000}" name="Month"/>
    <tableColumn id="4" xr3:uid="{00000000-0010-0000-0000-000004000000}" name="City"/>
    <tableColumn id="5" xr3:uid="{00000000-0010-0000-0000-000005000000}" name="Product"/>
    <tableColumn id="6" xr3:uid="{00000000-0010-0000-0000-000006000000}" name="Category"/>
    <tableColumn id="7" xr3:uid="{00000000-0010-0000-0000-000007000000}" name="Channel"/>
    <tableColumn id="8" xr3:uid="{00000000-0010-0000-0000-000008000000}" name="Quantity"/>
    <tableColumn id="9" xr3:uid="{00000000-0010-0000-0000-000009000000}" name="Unit Price"/>
    <tableColumn id="10" xr3:uid="{00000000-0010-0000-0000-00000A000000}" name="Sales"/>
    <tableColumn id="11" xr3:uid="{00000000-0010-0000-0000-00000B000000}" name="Cost"/>
    <tableColumn id="12" xr3:uid="{00000000-0010-0000-0000-00000C000000}" name="Profit"/>
    <tableColumn id="13" xr3:uid="{00000000-0010-0000-0000-00000D000000}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workbookViewId="0"/>
  </sheetViews>
  <sheetFormatPr defaultRowHeight="14.25"/>
  <cols>
    <col min="1" max="1" width="9.75" bestFit="1" customWidth="1"/>
    <col min="2" max="2" width="10.125" bestFit="1" customWidth="1"/>
    <col min="3" max="3" width="5.5" customWidth="1"/>
    <col min="4" max="4" width="9.125" bestFit="1" customWidth="1"/>
    <col min="5" max="5" width="12.75" customWidth="1"/>
    <col min="6" max="6" width="11" bestFit="1" customWidth="1"/>
    <col min="7" max="7" width="9" bestFit="1" customWidth="1"/>
    <col min="8" max="8" width="8.25" bestFit="1" customWidth="1"/>
    <col min="9" max="9" width="9.625" bestFit="1" customWidth="1"/>
    <col min="10" max="10" width="7.875" bestFit="1" customWidth="1"/>
    <col min="11" max="11" width="6.375" bestFit="1" customWidth="1"/>
    <col min="12" max="12" width="7.875" bestFit="1" customWidth="1"/>
    <col min="13" max="13" width="12.375" bestFit="1" customWidth="1"/>
  </cols>
  <sheetData>
    <row r="1" spans="1:13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4">
        <v>46064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1</v>
      </c>
      <c r="I2" s="5">
        <v>75</v>
      </c>
      <c r="J2" s="5">
        <f t="shared" ref="J2:J33" si="0">H2*I2</f>
        <v>75</v>
      </c>
      <c r="K2" s="5">
        <v>57.88</v>
      </c>
      <c r="L2" s="5">
        <f t="shared" ref="L2:L33" si="1">J2-(H2*K2)</f>
        <v>17.119999999999997</v>
      </c>
      <c r="M2" s="6">
        <f t="shared" ref="M2:M33" si="2">IFERROR(L2/J2,0)</f>
        <v>0.22826666666666665</v>
      </c>
    </row>
    <row r="3" spans="1:13">
      <c r="A3" s="3" t="s">
        <v>19</v>
      </c>
      <c r="B3" s="4">
        <v>46035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9</v>
      </c>
      <c r="I3" s="5">
        <v>129</v>
      </c>
      <c r="J3" s="5">
        <f t="shared" si="0"/>
        <v>1161</v>
      </c>
      <c r="K3" s="5">
        <v>72.260000000000005</v>
      </c>
      <c r="L3" s="5">
        <f t="shared" si="1"/>
        <v>510.65999999999997</v>
      </c>
      <c r="M3" s="6">
        <f t="shared" si="2"/>
        <v>0.43984496124031003</v>
      </c>
    </row>
    <row r="4" spans="1:13">
      <c r="A4" s="3" t="s">
        <v>25</v>
      </c>
      <c r="B4" s="4">
        <v>46078</v>
      </c>
      <c r="C4" s="3" t="s">
        <v>14</v>
      </c>
      <c r="D4" s="3" t="s">
        <v>26</v>
      </c>
      <c r="E4" s="3" t="s">
        <v>27</v>
      </c>
      <c r="F4" s="3" t="s">
        <v>28</v>
      </c>
      <c r="G4" s="3" t="s">
        <v>24</v>
      </c>
      <c r="H4" s="3">
        <v>2</v>
      </c>
      <c r="I4" s="5">
        <v>599</v>
      </c>
      <c r="J4" s="5">
        <f t="shared" si="0"/>
        <v>1198</v>
      </c>
      <c r="K4" s="5">
        <v>398.11</v>
      </c>
      <c r="L4" s="5">
        <f t="shared" si="1"/>
        <v>401.78</v>
      </c>
      <c r="M4" s="6">
        <f t="shared" si="2"/>
        <v>0.33537562604340565</v>
      </c>
    </row>
    <row r="5" spans="1:13">
      <c r="A5" s="3" t="s">
        <v>29</v>
      </c>
      <c r="B5" s="4">
        <v>46128</v>
      </c>
      <c r="C5" s="3" t="s">
        <v>30</v>
      </c>
      <c r="D5" s="3" t="s">
        <v>31</v>
      </c>
      <c r="E5" s="3" t="s">
        <v>32</v>
      </c>
      <c r="F5" s="3" t="s">
        <v>17</v>
      </c>
      <c r="G5" s="3" t="s">
        <v>18</v>
      </c>
      <c r="H5" s="3">
        <v>11</v>
      </c>
      <c r="I5" s="5">
        <v>49</v>
      </c>
      <c r="J5" s="5">
        <f t="shared" si="0"/>
        <v>539</v>
      </c>
      <c r="K5" s="5">
        <v>34.590000000000003</v>
      </c>
      <c r="L5" s="5">
        <f t="shared" si="1"/>
        <v>158.51</v>
      </c>
      <c r="M5" s="6">
        <f t="shared" si="2"/>
        <v>0.2940816326530612</v>
      </c>
    </row>
    <row r="6" spans="1:13">
      <c r="A6" s="3" t="s">
        <v>33</v>
      </c>
      <c r="B6" s="4">
        <v>46073</v>
      </c>
      <c r="C6" s="3" t="s">
        <v>14</v>
      </c>
      <c r="D6" s="3" t="s">
        <v>31</v>
      </c>
      <c r="E6" s="3" t="s">
        <v>34</v>
      </c>
      <c r="F6" s="3" t="s">
        <v>17</v>
      </c>
      <c r="G6" s="3" t="s">
        <v>24</v>
      </c>
      <c r="H6" s="3">
        <v>9</v>
      </c>
      <c r="I6" s="5">
        <v>99</v>
      </c>
      <c r="J6" s="5">
        <f t="shared" si="0"/>
        <v>891</v>
      </c>
      <c r="K6" s="5">
        <v>62.19</v>
      </c>
      <c r="L6" s="5">
        <f t="shared" si="1"/>
        <v>331.28999999999996</v>
      </c>
      <c r="M6" s="6">
        <f t="shared" si="2"/>
        <v>0.37181818181818177</v>
      </c>
    </row>
    <row r="7" spans="1:13">
      <c r="A7" s="3" t="s">
        <v>35</v>
      </c>
      <c r="B7" s="4">
        <v>46041</v>
      </c>
      <c r="C7" s="3" t="s">
        <v>20</v>
      </c>
      <c r="D7" s="3" t="s">
        <v>21</v>
      </c>
      <c r="E7" s="3" t="s">
        <v>32</v>
      </c>
      <c r="F7" s="3" t="s">
        <v>17</v>
      </c>
      <c r="G7" s="3" t="s">
        <v>36</v>
      </c>
      <c r="H7" s="3">
        <v>9</v>
      </c>
      <c r="I7" s="5">
        <v>99</v>
      </c>
      <c r="J7" s="5">
        <f t="shared" si="0"/>
        <v>891</v>
      </c>
      <c r="K7" s="5">
        <v>57.2</v>
      </c>
      <c r="L7" s="5">
        <f t="shared" si="1"/>
        <v>376.19999999999993</v>
      </c>
      <c r="M7" s="6">
        <f t="shared" si="2"/>
        <v>0.42222222222222217</v>
      </c>
    </row>
    <row r="8" spans="1:13">
      <c r="A8" s="3" t="s">
        <v>37</v>
      </c>
      <c r="B8" s="4">
        <v>46096</v>
      </c>
      <c r="C8" s="3" t="s">
        <v>38</v>
      </c>
      <c r="D8" s="3" t="s">
        <v>39</v>
      </c>
      <c r="E8" s="3" t="s">
        <v>40</v>
      </c>
      <c r="F8" s="3" t="s">
        <v>17</v>
      </c>
      <c r="G8" s="3" t="s">
        <v>24</v>
      </c>
      <c r="H8" s="3">
        <v>9</v>
      </c>
      <c r="I8" s="5">
        <v>75</v>
      </c>
      <c r="J8" s="5">
        <f t="shared" si="0"/>
        <v>675</v>
      </c>
      <c r="K8" s="5">
        <v>52.68</v>
      </c>
      <c r="L8" s="5">
        <f t="shared" si="1"/>
        <v>200.88</v>
      </c>
      <c r="M8" s="6">
        <f t="shared" si="2"/>
        <v>0.29759999999999998</v>
      </c>
    </row>
    <row r="9" spans="1:13">
      <c r="A9" s="3" t="s">
        <v>41</v>
      </c>
      <c r="B9" s="4">
        <v>46102</v>
      </c>
      <c r="C9" s="3" t="s">
        <v>38</v>
      </c>
      <c r="D9" s="3" t="s">
        <v>15</v>
      </c>
      <c r="E9" s="3" t="s">
        <v>40</v>
      </c>
      <c r="F9" s="3" t="s">
        <v>17</v>
      </c>
      <c r="G9" s="3" t="s">
        <v>18</v>
      </c>
      <c r="H9" s="3">
        <v>9</v>
      </c>
      <c r="I9" s="5">
        <v>249</v>
      </c>
      <c r="J9" s="5">
        <f t="shared" si="0"/>
        <v>2241</v>
      </c>
      <c r="K9" s="5">
        <v>189.2</v>
      </c>
      <c r="L9" s="5">
        <f t="shared" si="1"/>
        <v>538.20000000000005</v>
      </c>
      <c r="M9" s="6">
        <f t="shared" si="2"/>
        <v>0.24016064257028114</v>
      </c>
    </row>
    <row r="10" spans="1:13">
      <c r="A10" s="3" t="s">
        <v>42</v>
      </c>
      <c r="B10" s="4">
        <v>46082</v>
      </c>
      <c r="C10" s="3" t="s">
        <v>38</v>
      </c>
      <c r="D10" s="3" t="s">
        <v>39</v>
      </c>
      <c r="E10" s="3" t="s">
        <v>43</v>
      </c>
      <c r="F10" s="3" t="s">
        <v>28</v>
      </c>
      <c r="G10" s="3" t="s">
        <v>36</v>
      </c>
      <c r="H10" s="3">
        <v>4</v>
      </c>
      <c r="I10" s="5">
        <v>99</v>
      </c>
      <c r="J10" s="5">
        <f t="shared" si="0"/>
        <v>396</v>
      </c>
      <c r="K10" s="5">
        <v>73.13</v>
      </c>
      <c r="L10" s="5">
        <f t="shared" si="1"/>
        <v>103.48000000000002</v>
      </c>
      <c r="M10" s="6">
        <f t="shared" si="2"/>
        <v>0.26131313131313139</v>
      </c>
    </row>
    <row r="11" spans="1:13">
      <c r="A11" s="3" t="s">
        <v>44</v>
      </c>
      <c r="B11" s="4">
        <v>46054</v>
      </c>
      <c r="C11" s="3" t="s">
        <v>14</v>
      </c>
      <c r="D11" s="3" t="s">
        <v>21</v>
      </c>
      <c r="E11" s="3" t="s">
        <v>32</v>
      </c>
      <c r="F11" s="3" t="s">
        <v>17</v>
      </c>
      <c r="G11" s="3" t="s">
        <v>36</v>
      </c>
      <c r="H11" s="3">
        <v>9</v>
      </c>
      <c r="I11" s="5">
        <v>399</v>
      </c>
      <c r="J11" s="5">
        <f t="shared" si="0"/>
        <v>3591</v>
      </c>
      <c r="K11" s="5">
        <v>313.73</v>
      </c>
      <c r="L11" s="5">
        <f t="shared" si="1"/>
        <v>767.42999999999984</v>
      </c>
      <c r="M11" s="6">
        <f t="shared" si="2"/>
        <v>0.21370927318295735</v>
      </c>
    </row>
    <row r="12" spans="1:13">
      <c r="A12" s="3" t="s">
        <v>45</v>
      </c>
      <c r="B12" s="4">
        <v>46116</v>
      </c>
      <c r="C12" s="3" t="s">
        <v>30</v>
      </c>
      <c r="D12" s="3" t="s">
        <v>39</v>
      </c>
      <c r="E12" s="3" t="s">
        <v>43</v>
      </c>
      <c r="F12" s="3" t="s">
        <v>28</v>
      </c>
      <c r="G12" s="3" t="s">
        <v>18</v>
      </c>
      <c r="H12" s="3">
        <v>2</v>
      </c>
      <c r="I12" s="5">
        <v>75</v>
      </c>
      <c r="J12" s="5">
        <f t="shared" si="0"/>
        <v>150</v>
      </c>
      <c r="K12" s="5">
        <v>51.62</v>
      </c>
      <c r="L12" s="5">
        <f t="shared" si="1"/>
        <v>46.760000000000005</v>
      </c>
      <c r="M12" s="6">
        <f t="shared" si="2"/>
        <v>0.31173333333333336</v>
      </c>
    </row>
    <row r="13" spans="1:13">
      <c r="A13" s="3" t="s">
        <v>46</v>
      </c>
      <c r="B13" s="4">
        <v>46044</v>
      </c>
      <c r="C13" s="3" t="s">
        <v>20</v>
      </c>
      <c r="D13" s="3" t="s">
        <v>31</v>
      </c>
      <c r="E13" s="3" t="s">
        <v>22</v>
      </c>
      <c r="F13" s="3" t="s">
        <v>23</v>
      </c>
      <c r="G13" s="3" t="s">
        <v>36</v>
      </c>
      <c r="H13" s="3">
        <v>7</v>
      </c>
      <c r="I13" s="5">
        <v>49</v>
      </c>
      <c r="J13" s="5">
        <f t="shared" si="0"/>
        <v>343</v>
      </c>
      <c r="K13" s="5">
        <v>39.68</v>
      </c>
      <c r="L13" s="5">
        <f t="shared" si="1"/>
        <v>65.240000000000009</v>
      </c>
      <c r="M13" s="6">
        <f t="shared" si="2"/>
        <v>0.19020408163265309</v>
      </c>
    </row>
    <row r="14" spans="1:13">
      <c r="A14" s="3" t="s">
        <v>47</v>
      </c>
      <c r="B14" s="4">
        <v>46032</v>
      </c>
      <c r="C14" s="3" t="s">
        <v>20</v>
      </c>
      <c r="D14" s="3" t="s">
        <v>39</v>
      </c>
      <c r="E14" s="3" t="s">
        <v>22</v>
      </c>
      <c r="F14" s="3" t="s">
        <v>23</v>
      </c>
      <c r="G14" s="3" t="s">
        <v>18</v>
      </c>
      <c r="H14" s="3">
        <v>6</v>
      </c>
      <c r="I14" s="5">
        <v>399</v>
      </c>
      <c r="J14" s="5">
        <f t="shared" si="0"/>
        <v>2394</v>
      </c>
      <c r="K14" s="5">
        <v>281.92</v>
      </c>
      <c r="L14" s="5">
        <f t="shared" si="1"/>
        <v>702.48</v>
      </c>
      <c r="M14" s="6">
        <f t="shared" si="2"/>
        <v>0.29343358395989977</v>
      </c>
    </row>
    <row r="15" spans="1:13">
      <c r="A15" s="3" t="s">
        <v>48</v>
      </c>
      <c r="B15" s="4">
        <v>46081</v>
      </c>
      <c r="C15" s="3" t="s">
        <v>14</v>
      </c>
      <c r="D15" s="3" t="s">
        <v>26</v>
      </c>
      <c r="E15" s="3" t="s">
        <v>32</v>
      </c>
      <c r="F15" s="3" t="s">
        <v>17</v>
      </c>
      <c r="G15" s="3" t="s">
        <v>36</v>
      </c>
      <c r="H15" s="3">
        <v>8</v>
      </c>
      <c r="I15" s="5">
        <v>75</v>
      </c>
      <c r="J15" s="5">
        <f t="shared" si="0"/>
        <v>600</v>
      </c>
      <c r="K15" s="5">
        <v>42.48</v>
      </c>
      <c r="L15" s="5">
        <f t="shared" si="1"/>
        <v>260.16000000000003</v>
      </c>
      <c r="M15" s="6">
        <f t="shared" si="2"/>
        <v>0.43360000000000004</v>
      </c>
    </row>
    <row r="16" spans="1:13">
      <c r="A16" s="3" t="s">
        <v>49</v>
      </c>
      <c r="B16" s="4">
        <v>46112</v>
      </c>
      <c r="C16" s="3" t="s">
        <v>38</v>
      </c>
      <c r="D16" s="3" t="s">
        <v>21</v>
      </c>
      <c r="E16" s="3" t="s">
        <v>50</v>
      </c>
      <c r="F16" s="3" t="s">
        <v>23</v>
      </c>
      <c r="G16" s="3" t="s">
        <v>18</v>
      </c>
      <c r="H16" s="3">
        <v>8</v>
      </c>
      <c r="I16" s="5">
        <v>149</v>
      </c>
      <c r="J16" s="5">
        <f t="shared" si="0"/>
        <v>1192</v>
      </c>
      <c r="K16" s="5">
        <v>110.78</v>
      </c>
      <c r="L16" s="5">
        <f t="shared" si="1"/>
        <v>305.76</v>
      </c>
      <c r="M16" s="6">
        <f t="shared" si="2"/>
        <v>0.25651006711409396</v>
      </c>
    </row>
    <row r="17" spans="1:13">
      <c r="A17" s="3" t="s">
        <v>51</v>
      </c>
      <c r="B17" s="4">
        <v>46136</v>
      </c>
      <c r="C17" s="3" t="s">
        <v>30</v>
      </c>
      <c r="D17" s="3" t="s">
        <v>26</v>
      </c>
      <c r="E17" s="3" t="s">
        <v>22</v>
      </c>
      <c r="F17" s="3" t="s">
        <v>23</v>
      </c>
      <c r="G17" s="3" t="s">
        <v>36</v>
      </c>
      <c r="H17" s="3">
        <v>6</v>
      </c>
      <c r="I17" s="5">
        <v>99</v>
      </c>
      <c r="J17" s="5">
        <f t="shared" si="0"/>
        <v>594</v>
      </c>
      <c r="K17" s="5">
        <v>70.78</v>
      </c>
      <c r="L17" s="5">
        <f t="shared" si="1"/>
        <v>169.32</v>
      </c>
      <c r="M17" s="6">
        <f t="shared" si="2"/>
        <v>0.28505050505050505</v>
      </c>
    </row>
    <row r="18" spans="1:13">
      <c r="A18" s="3" t="s">
        <v>52</v>
      </c>
      <c r="B18" s="4">
        <v>46086</v>
      </c>
      <c r="C18" s="3" t="s">
        <v>38</v>
      </c>
      <c r="D18" s="3" t="s">
        <v>31</v>
      </c>
      <c r="E18" s="3" t="s">
        <v>34</v>
      </c>
      <c r="F18" s="3" t="s">
        <v>17</v>
      </c>
      <c r="G18" s="3" t="s">
        <v>36</v>
      </c>
      <c r="H18" s="3">
        <v>3</v>
      </c>
      <c r="I18" s="5">
        <v>129</v>
      </c>
      <c r="J18" s="5">
        <f t="shared" si="0"/>
        <v>387</v>
      </c>
      <c r="K18" s="5">
        <v>84.81</v>
      </c>
      <c r="L18" s="5">
        <f t="shared" si="1"/>
        <v>132.57</v>
      </c>
      <c r="M18" s="6">
        <f t="shared" si="2"/>
        <v>0.34255813953488368</v>
      </c>
    </row>
    <row r="19" spans="1:13">
      <c r="A19" s="3" t="s">
        <v>53</v>
      </c>
      <c r="B19" s="4">
        <v>46140</v>
      </c>
      <c r="C19" s="3" t="s">
        <v>30</v>
      </c>
      <c r="D19" s="3" t="s">
        <v>26</v>
      </c>
      <c r="E19" s="3" t="s">
        <v>43</v>
      </c>
      <c r="F19" s="3" t="s">
        <v>28</v>
      </c>
      <c r="G19" s="3" t="s">
        <v>24</v>
      </c>
      <c r="H19" s="3">
        <v>8</v>
      </c>
      <c r="I19" s="5">
        <v>249</v>
      </c>
      <c r="J19" s="5">
        <f t="shared" si="0"/>
        <v>1992</v>
      </c>
      <c r="K19" s="5">
        <v>173.89</v>
      </c>
      <c r="L19" s="5">
        <f t="shared" si="1"/>
        <v>600.88000000000011</v>
      </c>
      <c r="M19" s="6">
        <f t="shared" si="2"/>
        <v>0.30164658634538161</v>
      </c>
    </row>
    <row r="20" spans="1:13">
      <c r="A20" s="3" t="s">
        <v>54</v>
      </c>
      <c r="B20" s="4">
        <v>46136</v>
      </c>
      <c r="C20" s="3" t="s">
        <v>30</v>
      </c>
      <c r="D20" s="3" t="s">
        <v>15</v>
      </c>
      <c r="E20" s="3" t="s">
        <v>16</v>
      </c>
      <c r="F20" s="3" t="s">
        <v>17</v>
      </c>
      <c r="G20" s="3" t="s">
        <v>18</v>
      </c>
      <c r="H20" s="3">
        <v>5</v>
      </c>
      <c r="I20" s="5">
        <v>249</v>
      </c>
      <c r="J20" s="5">
        <f t="shared" si="0"/>
        <v>1245</v>
      </c>
      <c r="K20" s="5">
        <v>203.27</v>
      </c>
      <c r="L20" s="5">
        <f t="shared" si="1"/>
        <v>228.64999999999998</v>
      </c>
      <c r="M20" s="6">
        <f t="shared" si="2"/>
        <v>0.18365461847389555</v>
      </c>
    </row>
    <row r="21" spans="1:13">
      <c r="A21" s="3" t="s">
        <v>55</v>
      </c>
      <c r="B21" s="4">
        <v>46110</v>
      </c>
      <c r="C21" s="3" t="s">
        <v>38</v>
      </c>
      <c r="D21" s="3" t="s">
        <v>31</v>
      </c>
      <c r="E21" s="3" t="s">
        <v>27</v>
      </c>
      <c r="F21" s="3" t="s">
        <v>28</v>
      </c>
      <c r="G21" s="3" t="s">
        <v>24</v>
      </c>
      <c r="H21" s="3">
        <v>2</v>
      </c>
      <c r="I21" s="5">
        <v>99</v>
      </c>
      <c r="J21" s="5">
        <f t="shared" si="0"/>
        <v>198</v>
      </c>
      <c r="K21" s="5">
        <v>58.49</v>
      </c>
      <c r="L21" s="5">
        <f t="shared" si="1"/>
        <v>81.02</v>
      </c>
      <c r="M21" s="6">
        <f t="shared" si="2"/>
        <v>0.40919191919191916</v>
      </c>
    </row>
    <row r="22" spans="1:13">
      <c r="A22" s="3" t="s">
        <v>56</v>
      </c>
      <c r="B22" s="4">
        <v>46107</v>
      </c>
      <c r="C22" s="3" t="s">
        <v>38</v>
      </c>
      <c r="D22" s="3" t="s">
        <v>26</v>
      </c>
      <c r="E22" s="3" t="s">
        <v>40</v>
      </c>
      <c r="F22" s="3" t="s">
        <v>17</v>
      </c>
      <c r="G22" s="3" t="s">
        <v>36</v>
      </c>
      <c r="H22" s="3">
        <v>10</v>
      </c>
      <c r="I22" s="5">
        <v>99</v>
      </c>
      <c r="J22" s="5">
        <f t="shared" si="0"/>
        <v>990</v>
      </c>
      <c r="K22" s="5">
        <v>61.47</v>
      </c>
      <c r="L22" s="5">
        <f t="shared" si="1"/>
        <v>375.29999999999995</v>
      </c>
      <c r="M22" s="6">
        <f t="shared" si="2"/>
        <v>0.37909090909090903</v>
      </c>
    </row>
    <row r="23" spans="1:13">
      <c r="A23" s="3" t="s">
        <v>57</v>
      </c>
      <c r="B23" s="4">
        <v>46023</v>
      </c>
      <c r="C23" s="3" t="s">
        <v>20</v>
      </c>
      <c r="D23" s="3" t="s">
        <v>15</v>
      </c>
      <c r="E23" s="3" t="s">
        <v>16</v>
      </c>
      <c r="F23" s="3" t="s">
        <v>17</v>
      </c>
      <c r="G23" s="3" t="s">
        <v>18</v>
      </c>
      <c r="H23" s="3">
        <v>6</v>
      </c>
      <c r="I23" s="5">
        <v>199</v>
      </c>
      <c r="J23" s="5">
        <f t="shared" si="0"/>
        <v>1194</v>
      </c>
      <c r="K23" s="5">
        <v>160.66</v>
      </c>
      <c r="L23" s="5">
        <f t="shared" si="1"/>
        <v>230.03999999999996</v>
      </c>
      <c r="M23" s="6">
        <f t="shared" si="2"/>
        <v>0.19266331658291455</v>
      </c>
    </row>
    <row r="24" spans="1:13">
      <c r="A24" s="3" t="s">
        <v>58</v>
      </c>
      <c r="B24" s="4">
        <v>46111</v>
      </c>
      <c r="C24" s="3" t="s">
        <v>38</v>
      </c>
      <c r="D24" s="3" t="s">
        <v>15</v>
      </c>
      <c r="E24" s="3" t="s">
        <v>34</v>
      </c>
      <c r="F24" s="3" t="s">
        <v>17</v>
      </c>
      <c r="G24" s="3" t="s">
        <v>18</v>
      </c>
      <c r="H24" s="3">
        <v>9</v>
      </c>
      <c r="I24" s="5">
        <v>249</v>
      </c>
      <c r="J24" s="5">
        <f t="shared" si="0"/>
        <v>2241</v>
      </c>
      <c r="K24" s="5">
        <v>163.71</v>
      </c>
      <c r="L24" s="5">
        <f t="shared" si="1"/>
        <v>767.6099999999999</v>
      </c>
      <c r="M24" s="6">
        <f t="shared" si="2"/>
        <v>0.34253012048192766</v>
      </c>
    </row>
    <row r="25" spans="1:13">
      <c r="A25" s="3" t="s">
        <v>59</v>
      </c>
      <c r="B25" s="4">
        <v>46073</v>
      </c>
      <c r="C25" s="3" t="s">
        <v>14</v>
      </c>
      <c r="D25" s="3" t="s">
        <v>15</v>
      </c>
      <c r="E25" s="3" t="s">
        <v>32</v>
      </c>
      <c r="F25" s="3" t="s">
        <v>17</v>
      </c>
      <c r="G25" s="3" t="s">
        <v>18</v>
      </c>
      <c r="H25" s="3">
        <v>7</v>
      </c>
      <c r="I25" s="5">
        <v>49</v>
      </c>
      <c r="J25" s="5">
        <f t="shared" si="0"/>
        <v>343</v>
      </c>
      <c r="K25" s="5">
        <v>29.47</v>
      </c>
      <c r="L25" s="5">
        <f t="shared" si="1"/>
        <v>136.71</v>
      </c>
      <c r="M25" s="6">
        <f t="shared" si="2"/>
        <v>0.39857142857142858</v>
      </c>
    </row>
    <row r="26" spans="1:13">
      <c r="A26" s="3" t="s">
        <v>60</v>
      </c>
      <c r="B26" s="4">
        <v>46049</v>
      </c>
      <c r="C26" s="3" t="s">
        <v>20</v>
      </c>
      <c r="D26" s="3" t="s">
        <v>31</v>
      </c>
      <c r="E26" s="3" t="s">
        <v>43</v>
      </c>
      <c r="F26" s="3" t="s">
        <v>28</v>
      </c>
      <c r="G26" s="3" t="s">
        <v>24</v>
      </c>
      <c r="H26" s="3">
        <v>6</v>
      </c>
      <c r="I26" s="5">
        <v>49</v>
      </c>
      <c r="J26" s="5">
        <f t="shared" si="0"/>
        <v>294</v>
      </c>
      <c r="K26" s="5">
        <v>28.3</v>
      </c>
      <c r="L26" s="5">
        <f t="shared" si="1"/>
        <v>124.19999999999999</v>
      </c>
      <c r="M26" s="6">
        <f t="shared" si="2"/>
        <v>0.42244897959183669</v>
      </c>
    </row>
    <row r="27" spans="1:13">
      <c r="A27" s="3" t="s">
        <v>61</v>
      </c>
      <c r="B27" s="4">
        <v>46095</v>
      </c>
      <c r="C27" s="3" t="s">
        <v>38</v>
      </c>
      <c r="D27" s="3" t="s">
        <v>21</v>
      </c>
      <c r="E27" s="3" t="s">
        <v>16</v>
      </c>
      <c r="F27" s="3" t="s">
        <v>17</v>
      </c>
      <c r="G27" s="3" t="s">
        <v>24</v>
      </c>
      <c r="H27" s="3">
        <v>6</v>
      </c>
      <c r="I27" s="5">
        <v>49</v>
      </c>
      <c r="J27" s="5">
        <f t="shared" si="0"/>
        <v>294</v>
      </c>
      <c r="K27" s="5">
        <v>27.88</v>
      </c>
      <c r="L27" s="5">
        <f t="shared" si="1"/>
        <v>126.72</v>
      </c>
      <c r="M27" s="6">
        <f t="shared" si="2"/>
        <v>0.43102040816326531</v>
      </c>
    </row>
    <row r="28" spans="1:13">
      <c r="A28" s="3" t="s">
        <v>62</v>
      </c>
      <c r="B28" s="4">
        <v>46049</v>
      </c>
      <c r="C28" s="3" t="s">
        <v>20</v>
      </c>
      <c r="D28" s="3" t="s">
        <v>31</v>
      </c>
      <c r="E28" s="3" t="s">
        <v>27</v>
      </c>
      <c r="F28" s="3" t="s">
        <v>28</v>
      </c>
      <c r="G28" s="3" t="s">
        <v>18</v>
      </c>
      <c r="H28" s="3">
        <v>5</v>
      </c>
      <c r="I28" s="5">
        <v>199</v>
      </c>
      <c r="J28" s="5">
        <f t="shared" si="0"/>
        <v>995</v>
      </c>
      <c r="K28" s="5">
        <v>141.81</v>
      </c>
      <c r="L28" s="5">
        <f t="shared" si="1"/>
        <v>285.95000000000005</v>
      </c>
      <c r="M28" s="6">
        <f t="shared" si="2"/>
        <v>0.2873869346733669</v>
      </c>
    </row>
    <row r="29" spans="1:13">
      <c r="A29" s="3" t="s">
        <v>63</v>
      </c>
      <c r="B29" s="4">
        <v>46083</v>
      </c>
      <c r="C29" s="3" t="s">
        <v>38</v>
      </c>
      <c r="D29" s="3" t="s">
        <v>26</v>
      </c>
      <c r="E29" s="3" t="s">
        <v>32</v>
      </c>
      <c r="F29" s="3" t="s">
        <v>17</v>
      </c>
      <c r="G29" s="3" t="s">
        <v>36</v>
      </c>
      <c r="H29" s="3">
        <v>8</v>
      </c>
      <c r="I29" s="5">
        <v>399</v>
      </c>
      <c r="J29" s="5">
        <f t="shared" si="0"/>
        <v>3192</v>
      </c>
      <c r="K29" s="5">
        <v>271.57</v>
      </c>
      <c r="L29" s="5">
        <f t="shared" si="1"/>
        <v>1019.44</v>
      </c>
      <c r="M29" s="6">
        <f t="shared" si="2"/>
        <v>0.31937343358395992</v>
      </c>
    </row>
    <row r="30" spans="1:13">
      <c r="A30" s="3" t="s">
        <v>64</v>
      </c>
      <c r="B30" s="4">
        <v>46033</v>
      </c>
      <c r="C30" s="3" t="s">
        <v>20</v>
      </c>
      <c r="D30" s="3" t="s">
        <v>26</v>
      </c>
      <c r="E30" s="3" t="s">
        <v>16</v>
      </c>
      <c r="F30" s="3" t="s">
        <v>17</v>
      </c>
      <c r="G30" s="3" t="s">
        <v>18</v>
      </c>
      <c r="H30" s="3">
        <v>6</v>
      </c>
      <c r="I30" s="5">
        <v>149</v>
      </c>
      <c r="J30" s="5">
        <f t="shared" si="0"/>
        <v>894</v>
      </c>
      <c r="K30" s="5">
        <v>101.2</v>
      </c>
      <c r="L30" s="5">
        <f t="shared" si="1"/>
        <v>286.79999999999995</v>
      </c>
      <c r="M30" s="6">
        <f t="shared" si="2"/>
        <v>0.32080536912751673</v>
      </c>
    </row>
    <row r="31" spans="1:13">
      <c r="A31" s="3" t="s">
        <v>65</v>
      </c>
      <c r="B31" s="4">
        <v>46111</v>
      </c>
      <c r="C31" s="3" t="s">
        <v>38</v>
      </c>
      <c r="D31" s="3" t="s">
        <v>21</v>
      </c>
      <c r="E31" s="3" t="s">
        <v>16</v>
      </c>
      <c r="F31" s="3" t="s">
        <v>17</v>
      </c>
      <c r="G31" s="3" t="s">
        <v>24</v>
      </c>
      <c r="H31" s="3">
        <v>4</v>
      </c>
      <c r="I31" s="5">
        <v>599</v>
      </c>
      <c r="J31" s="5">
        <f t="shared" si="0"/>
        <v>2396</v>
      </c>
      <c r="K31" s="5">
        <v>387.96</v>
      </c>
      <c r="L31" s="5">
        <f t="shared" si="1"/>
        <v>844.16000000000008</v>
      </c>
      <c r="M31" s="6">
        <f t="shared" si="2"/>
        <v>0.35232053422370624</v>
      </c>
    </row>
    <row r="32" spans="1:13">
      <c r="A32" s="3" t="s">
        <v>66</v>
      </c>
      <c r="B32" s="4">
        <v>46111</v>
      </c>
      <c r="C32" s="3" t="s">
        <v>38</v>
      </c>
      <c r="D32" s="3" t="s">
        <v>21</v>
      </c>
      <c r="E32" s="3" t="s">
        <v>34</v>
      </c>
      <c r="F32" s="3" t="s">
        <v>17</v>
      </c>
      <c r="G32" s="3" t="s">
        <v>36</v>
      </c>
      <c r="H32" s="3">
        <v>11</v>
      </c>
      <c r="I32" s="5">
        <v>75</v>
      </c>
      <c r="J32" s="5">
        <f t="shared" si="0"/>
        <v>825</v>
      </c>
      <c r="K32" s="5">
        <v>55.35</v>
      </c>
      <c r="L32" s="5">
        <f t="shared" si="1"/>
        <v>216.14999999999998</v>
      </c>
      <c r="M32" s="6">
        <f t="shared" si="2"/>
        <v>0.26199999999999996</v>
      </c>
    </row>
    <row r="33" spans="1:13">
      <c r="A33" s="3" t="s">
        <v>67</v>
      </c>
      <c r="B33" s="4">
        <v>46056</v>
      </c>
      <c r="C33" s="3" t="s">
        <v>14</v>
      </c>
      <c r="D33" s="3" t="s">
        <v>31</v>
      </c>
      <c r="E33" s="3" t="s">
        <v>22</v>
      </c>
      <c r="F33" s="3" t="s">
        <v>23</v>
      </c>
      <c r="G33" s="3" t="s">
        <v>36</v>
      </c>
      <c r="H33" s="3">
        <v>4</v>
      </c>
      <c r="I33" s="5">
        <v>599</v>
      </c>
      <c r="J33" s="5">
        <f t="shared" si="0"/>
        <v>2396</v>
      </c>
      <c r="K33" s="5">
        <v>417.04</v>
      </c>
      <c r="L33" s="5">
        <f t="shared" si="1"/>
        <v>727.83999999999992</v>
      </c>
      <c r="M33" s="6">
        <f t="shared" si="2"/>
        <v>0.30377295492487477</v>
      </c>
    </row>
    <row r="34" spans="1:13">
      <c r="A34" s="3" t="s">
        <v>68</v>
      </c>
      <c r="B34" s="4">
        <v>46087</v>
      </c>
      <c r="C34" s="3" t="s">
        <v>38</v>
      </c>
      <c r="D34" s="3" t="s">
        <v>31</v>
      </c>
      <c r="E34" s="3" t="s">
        <v>22</v>
      </c>
      <c r="F34" s="3" t="s">
        <v>23</v>
      </c>
      <c r="G34" s="3" t="s">
        <v>18</v>
      </c>
      <c r="H34" s="3">
        <v>4</v>
      </c>
      <c r="I34" s="5">
        <v>129</v>
      </c>
      <c r="J34" s="5">
        <f t="shared" ref="J34:J65" si="3">H34*I34</f>
        <v>516</v>
      </c>
      <c r="K34" s="5">
        <v>99.45</v>
      </c>
      <c r="L34" s="5">
        <f t="shared" ref="L34:L65" si="4">J34-(H34*K34)</f>
        <v>118.19999999999999</v>
      </c>
      <c r="M34" s="6">
        <f t="shared" ref="M34:M65" si="5">IFERROR(L34/J34,0)</f>
        <v>0.22906976744186044</v>
      </c>
    </row>
    <row r="35" spans="1:13">
      <c r="A35" s="3" t="s">
        <v>69</v>
      </c>
      <c r="B35" s="4">
        <v>46117</v>
      </c>
      <c r="C35" s="3" t="s">
        <v>30</v>
      </c>
      <c r="D35" s="3" t="s">
        <v>31</v>
      </c>
      <c r="E35" s="3" t="s">
        <v>40</v>
      </c>
      <c r="F35" s="3" t="s">
        <v>17</v>
      </c>
      <c r="G35" s="3" t="s">
        <v>18</v>
      </c>
      <c r="H35" s="3">
        <v>8</v>
      </c>
      <c r="I35" s="5">
        <v>199</v>
      </c>
      <c r="J35" s="5">
        <f t="shared" si="3"/>
        <v>1592</v>
      </c>
      <c r="K35" s="5">
        <v>148.72999999999999</v>
      </c>
      <c r="L35" s="5">
        <f t="shared" si="4"/>
        <v>402.16000000000008</v>
      </c>
      <c r="M35" s="6">
        <f t="shared" si="5"/>
        <v>0.25261306532663319</v>
      </c>
    </row>
    <row r="36" spans="1:13">
      <c r="A36" s="3" t="s">
        <v>70</v>
      </c>
      <c r="B36" s="4">
        <v>46026</v>
      </c>
      <c r="C36" s="3" t="s">
        <v>20</v>
      </c>
      <c r="D36" s="3" t="s">
        <v>15</v>
      </c>
      <c r="E36" s="3" t="s">
        <v>50</v>
      </c>
      <c r="F36" s="3" t="s">
        <v>23</v>
      </c>
      <c r="G36" s="3" t="s">
        <v>36</v>
      </c>
      <c r="H36" s="3">
        <v>4</v>
      </c>
      <c r="I36" s="5">
        <v>199</v>
      </c>
      <c r="J36" s="5">
        <f t="shared" si="3"/>
        <v>796</v>
      </c>
      <c r="K36" s="5">
        <v>133.47999999999999</v>
      </c>
      <c r="L36" s="5">
        <f t="shared" si="4"/>
        <v>262.08000000000004</v>
      </c>
      <c r="M36" s="6">
        <f t="shared" si="5"/>
        <v>0.32924623115577895</v>
      </c>
    </row>
    <row r="37" spans="1:13">
      <c r="A37" s="3" t="s">
        <v>71</v>
      </c>
      <c r="B37" s="4">
        <v>46142</v>
      </c>
      <c r="C37" s="3" t="s">
        <v>30</v>
      </c>
      <c r="D37" s="3" t="s">
        <v>39</v>
      </c>
      <c r="E37" s="3" t="s">
        <v>22</v>
      </c>
      <c r="F37" s="3" t="s">
        <v>23</v>
      </c>
      <c r="G37" s="3" t="s">
        <v>24</v>
      </c>
      <c r="H37" s="3">
        <v>4</v>
      </c>
      <c r="I37" s="5">
        <v>75</v>
      </c>
      <c r="J37" s="5">
        <f t="shared" si="3"/>
        <v>300</v>
      </c>
      <c r="K37" s="5">
        <v>45.84</v>
      </c>
      <c r="L37" s="5">
        <f t="shared" si="4"/>
        <v>116.63999999999999</v>
      </c>
      <c r="M37" s="6">
        <f t="shared" si="5"/>
        <v>0.38879999999999998</v>
      </c>
    </row>
    <row r="38" spans="1:13">
      <c r="A38" s="3" t="s">
        <v>72</v>
      </c>
      <c r="B38" s="4">
        <v>46048</v>
      </c>
      <c r="C38" s="3" t="s">
        <v>20</v>
      </c>
      <c r="D38" s="3" t="s">
        <v>31</v>
      </c>
      <c r="E38" s="3" t="s">
        <v>22</v>
      </c>
      <c r="F38" s="3" t="s">
        <v>23</v>
      </c>
      <c r="G38" s="3" t="s">
        <v>36</v>
      </c>
      <c r="H38" s="3">
        <v>10</v>
      </c>
      <c r="I38" s="5">
        <v>49</v>
      </c>
      <c r="J38" s="5">
        <f t="shared" si="3"/>
        <v>490</v>
      </c>
      <c r="K38" s="5">
        <v>33.29</v>
      </c>
      <c r="L38" s="5">
        <f t="shared" si="4"/>
        <v>157.10000000000002</v>
      </c>
      <c r="M38" s="6">
        <f t="shared" si="5"/>
        <v>0.32061224489795925</v>
      </c>
    </row>
    <row r="39" spans="1:13">
      <c r="A39" s="3" t="s">
        <v>73</v>
      </c>
      <c r="B39" s="4">
        <v>46106</v>
      </c>
      <c r="C39" s="3" t="s">
        <v>38</v>
      </c>
      <c r="D39" s="3" t="s">
        <v>26</v>
      </c>
      <c r="E39" s="3" t="s">
        <v>22</v>
      </c>
      <c r="F39" s="3" t="s">
        <v>23</v>
      </c>
      <c r="G39" s="3" t="s">
        <v>18</v>
      </c>
      <c r="H39" s="3">
        <v>2</v>
      </c>
      <c r="I39" s="5">
        <v>249</v>
      </c>
      <c r="J39" s="5">
        <f t="shared" si="3"/>
        <v>498</v>
      </c>
      <c r="K39" s="5">
        <v>189.54</v>
      </c>
      <c r="L39" s="5">
        <f t="shared" si="4"/>
        <v>118.92000000000002</v>
      </c>
      <c r="M39" s="6">
        <f t="shared" si="5"/>
        <v>0.2387951807228916</v>
      </c>
    </row>
    <row r="40" spans="1:13">
      <c r="A40" s="3" t="s">
        <v>74</v>
      </c>
      <c r="B40" s="4">
        <v>46119</v>
      </c>
      <c r="C40" s="3" t="s">
        <v>30</v>
      </c>
      <c r="D40" s="3" t="s">
        <v>15</v>
      </c>
      <c r="E40" s="3" t="s">
        <v>40</v>
      </c>
      <c r="F40" s="3" t="s">
        <v>17</v>
      </c>
      <c r="G40" s="3" t="s">
        <v>24</v>
      </c>
      <c r="H40" s="3">
        <v>7</v>
      </c>
      <c r="I40" s="5">
        <v>199</v>
      </c>
      <c r="J40" s="5">
        <f t="shared" si="3"/>
        <v>1393</v>
      </c>
      <c r="K40" s="5">
        <v>114.11</v>
      </c>
      <c r="L40" s="5">
        <f t="shared" si="4"/>
        <v>594.23</v>
      </c>
      <c r="M40" s="6">
        <f t="shared" si="5"/>
        <v>0.42658291457286435</v>
      </c>
    </row>
    <row r="41" spans="1:13">
      <c r="A41" s="3" t="s">
        <v>75</v>
      </c>
      <c r="B41" s="4">
        <v>46115</v>
      </c>
      <c r="C41" s="3" t="s">
        <v>30</v>
      </c>
      <c r="D41" s="3" t="s">
        <v>15</v>
      </c>
      <c r="E41" s="3" t="s">
        <v>27</v>
      </c>
      <c r="F41" s="3" t="s">
        <v>28</v>
      </c>
      <c r="G41" s="3" t="s">
        <v>36</v>
      </c>
      <c r="H41" s="3">
        <v>12</v>
      </c>
      <c r="I41" s="5">
        <v>75</v>
      </c>
      <c r="J41" s="5">
        <f t="shared" si="3"/>
        <v>900</v>
      </c>
      <c r="K41" s="5">
        <v>55.93</v>
      </c>
      <c r="L41" s="5">
        <f t="shared" si="4"/>
        <v>228.84000000000003</v>
      </c>
      <c r="M41" s="6">
        <f t="shared" si="5"/>
        <v>0.2542666666666667</v>
      </c>
    </row>
    <row r="42" spans="1:13">
      <c r="A42" s="3" t="s">
        <v>76</v>
      </c>
      <c r="B42" s="4">
        <v>46044</v>
      </c>
      <c r="C42" s="3" t="s">
        <v>20</v>
      </c>
      <c r="D42" s="3" t="s">
        <v>26</v>
      </c>
      <c r="E42" s="3" t="s">
        <v>16</v>
      </c>
      <c r="F42" s="3" t="s">
        <v>17</v>
      </c>
      <c r="G42" s="3" t="s">
        <v>24</v>
      </c>
      <c r="H42" s="3">
        <v>10</v>
      </c>
      <c r="I42" s="5">
        <v>399</v>
      </c>
      <c r="J42" s="5">
        <f t="shared" si="3"/>
        <v>3990</v>
      </c>
      <c r="K42" s="5">
        <v>306.33</v>
      </c>
      <c r="L42" s="5">
        <f t="shared" si="4"/>
        <v>926.70000000000027</v>
      </c>
      <c r="M42" s="6">
        <f t="shared" si="5"/>
        <v>0.23225563909774444</v>
      </c>
    </row>
    <row r="43" spans="1:13">
      <c r="A43" s="3" t="s">
        <v>77</v>
      </c>
      <c r="B43" s="4">
        <v>46041</v>
      </c>
      <c r="C43" s="3" t="s">
        <v>20</v>
      </c>
      <c r="D43" s="3" t="s">
        <v>39</v>
      </c>
      <c r="E43" s="3" t="s">
        <v>43</v>
      </c>
      <c r="F43" s="3" t="s">
        <v>28</v>
      </c>
      <c r="G43" s="3" t="s">
        <v>24</v>
      </c>
      <c r="H43" s="3">
        <v>9</v>
      </c>
      <c r="I43" s="5">
        <v>599</v>
      </c>
      <c r="J43" s="5">
        <f t="shared" si="3"/>
        <v>5391</v>
      </c>
      <c r="K43" s="5">
        <v>350.63</v>
      </c>
      <c r="L43" s="5">
        <f t="shared" si="4"/>
        <v>2235.33</v>
      </c>
      <c r="M43" s="6">
        <f t="shared" si="5"/>
        <v>0.41464106844741233</v>
      </c>
    </row>
    <row r="44" spans="1:13">
      <c r="A44" s="3" t="s">
        <v>78</v>
      </c>
      <c r="B44" s="4">
        <v>46024</v>
      </c>
      <c r="C44" s="3" t="s">
        <v>20</v>
      </c>
      <c r="D44" s="3" t="s">
        <v>21</v>
      </c>
      <c r="E44" s="3" t="s">
        <v>32</v>
      </c>
      <c r="F44" s="3" t="s">
        <v>17</v>
      </c>
      <c r="G44" s="3" t="s">
        <v>18</v>
      </c>
      <c r="H44" s="3">
        <v>3</v>
      </c>
      <c r="I44" s="5">
        <v>249</v>
      </c>
      <c r="J44" s="5">
        <f t="shared" si="3"/>
        <v>747</v>
      </c>
      <c r="K44" s="5">
        <v>203.28</v>
      </c>
      <c r="L44" s="5">
        <f t="shared" si="4"/>
        <v>137.15999999999997</v>
      </c>
      <c r="M44" s="6">
        <f t="shared" si="5"/>
        <v>0.18361445783132527</v>
      </c>
    </row>
    <row r="45" spans="1:13">
      <c r="A45" s="3" t="s">
        <v>79</v>
      </c>
      <c r="B45" s="4">
        <v>46047</v>
      </c>
      <c r="C45" s="3" t="s">
        <v>20</v>
      </c>
      <c r="D45" s="3" t="s">
        <v>26</v>
      </c>
      <c r="E45" s="3" t="s">
        <v>40</v>
      </c>
      <c r="F45" s="3" t="s">
        <v>17</v>
      </c>
      <c r="G45" s="3" t="s">
        <v>36</v>
      </c>
      <c r="H45" s="3">
        <v>4</v>
      </c>
      <c r="I45" s="5">
        <v>149</v>
      </c>
      <c r="J45" s="5">
        <f t="shared" si="3"/>
        <v>596</v>
      </c>
      <c r="K45" s="5">
        <v>102.11</v>
      </c>
      <c r="L45" s="5">
        <f t="shared" si="4"/>
        <v>187.56</v>
      </c>
      <c r="M45" s="6">
        <f t="shared" si="5"/>
        <v>0.31469798657718123</v>
      </c>
    </row>
    <row r="46" spans="1:13">
      <c r="A46" s="3" t="s">
        <v>80</v>
      </c>
      <c r="B46" s="4">
        <v>46120</v>
      </c>
      <c r="C46" s="3" t="s">
        <v>30</v>
      </c>
      <c r="D46" s="3" t="s">
        <v>39</v>
      </c>
      <c r="E46" s="3" t="s">
        <v>22</v>
      </c>
      <c r="F46" s="3" t="s">
        <v>23</v>
      </c>
      <c r="G46" s="3" t="s">
        <v>18</v>
      </c>
      <c r="H46" s="3">
        <v>7</v>
      </c>
      <c r="I46" s="5">
        <v>99</v>
      </c>
      <c r="J46" s="5">
        <f t="shared" si="3"/>
        <v>693</v>
      </c>
      <c r="K46" s="5">
        <v>56.08</v>
      </c>
      <c r="L46" s="5">
        <f t="shared" si="4"/>
        <v>300.44</v>
      </c>
      <c r="M46" s="6">
        <f t="shared" si="5"/>
        <v>0.43353535353535355</v>
      </c>
    </row>
    <row r="47" spans="1:13">
      <c r="A47" s="3" t="s">
        <v>81</v>
      </c>
      <c r="B47" s="4">
        <v>46117</v>
      </c>
      <c r="C47" s="3" t="s">
        <v>30</v>
      </c>
      <c r="D47" s="3" t="s">
        <v>15</v>
      </c>
      <c r="E47" s="3" t="s">
        <v>22</v>
      </c>
      <c r="F47" s="3" t="s">
        <v>23</v>
      </c>
      <c r="G47" s="3" t="s">
        <v>18</v>
      </c>
      <c r="H47" s="3">
        <v>10</v>
      </c>
      <c r="I47" s="5">
        <v>599</v>
      </c>
      <c r="J47" s="5">
        <f t="shared" si="3"/>
        <v>5990</v>
      </c>
      <c r="K47" s="5">
        <v>397.48</v>
      </c>
      <c r="L47" s="5">
        <f t="shared" si="4"/>
        <v>2015.1999999999998</v>
      </c>
      <c r="M47" s="6">
        <f t="shared" si="5"/>
        <v>0.33642737896494151</v>
      </c>
    </row>
    <row r="48" spans="1:13">
      <c r="A48" s="3" t="s">
        <v>82</v>
      </c>
      <c r="B48" s="4">
        <v>46140</v>
      </c>
      <c r="C48" s="3" t="s">
        <v>30</v>
      </c>
      <c r="D48" s="3" t="s">
        <v>21</v>
      </c>
      <c r="E48" s="3" t="s">
        <v>16</v>
      </c>
      <c r="F48" s="3" t="s">
        <v>17</v>
      </c>
      <c r="G48" s="3" t="s">
        <v>24</v>
      </c>
      <c r="H48" s="3">
        <v>9</v>
      </c>
      <c r="I48" s="5">
        <v>599</v>
      </c>
      <c r="J48" s="5">
        <f t="shared" si="3"/>
        <v>5391</v>
      </c>
      <c r="K48" s="5">
        <v>332.48</v>
      </c>
      <c r="L48" s="5">
        <f t="shared" si="4"/>
        <v>2398.6799999999998</v>
      </c>
      <c r="M48" s="6">
        <f t="shared" si="5"/>
        <v>0.44494156928213685</v>
      </c>
    </row>
    <row r="49" spans="1:13">
      <c r="A49" s="3" t="s">
        <v>83</v>
      </c>
      <c r="B49" s="4">
        <v>46079</v>
      </c>
      <c r="C49" s="3" t="s">
        <v>14</v>
      </c>
      <c r="D49" s="3" t="s">
        <v>21</v>
      </c>
      <c r="E49" s="3" t="s">
        <v>16</v>
      </c>
      <c r="F49" s="3" t="s">
        <v>17</v>
      </c>
      <c r="G49" s="3" t="s">
        <v>24</v>
      </c>
      <c r="H49" s="3">
        <v>3</v>
      </c>
      <c r="I49" s="5">
        <v>99</v>
      </c>
      <c r="J49" s="5">
        <f t="shared" si="3"/>
        <v>297</v>
      </c>
      <c r="K49" s="5">
        <v>58.23</v>
      </c>
      <c r="L49" s="5">
        <f t="shared" si="4"/>
        <v>122.31</v>
      </c>
      <c r="M49" s="6">
        <f t="shared" si="5"/>
        <v>0.41181818181818181</v>
      </c>
    </row>
    <row r="50" spans="1:13">
      <c r="A50" s="3" t="s">
        <v>84</v>
      </c>
      <c r="B50" s="4">
        <v>46102</v>
      </c>
      <c r="C50" s="3" t="s">
        <v>38</v>
      </c>
      <c r="D50" s="3" t="s">
        <v>21</v>
      </c>
      <c r="E50" s="3" t="s">
        <v>32</v>
      </c>
      <c r="F50" s="3" t="s">
        <v>17</v>
      </c>
      <c r="G50" s="3" t="s">
        <v>24</v>
      </c>
      <c r="H50" s="3">
        <v>6</v>
      </c>
      <c r="I50" s="5">
        <v>599</v>
      </c>
      <c r="J50" s="5">
        <f t="shared" si="3"/>
        <v>3594</v>
      </c>
      <c r="K50" s="5">
        <v>415.28</v>
      </c>
      <c r="L50" s="5">
        <f t="shared" si="4"/>
        <v>1102.3200000000002</v>
      </c>
      <c r="M50" s="6">
        <f t="shared" si="5"/>
        <v>0.30671118530884811</v>
      </c>
    </row>
    <row r="51" spans="1:13">
      <c r="A51" s="3" t="s">
        <v>85</v>
      </c>
      <c r="B51" s="4">
        <v>46084</v>
      </c>
      <c r="C51" s="3" t="s">
        <v>38</v>
      </c>
      <c r="D51" s="3" t="s">
        <v>21</v>
      </c>
      <c r="E51" s="3" t="s">
        <v>32</v>
      </c>
      <c r="F51" s="3" t="s">
        <v>17</v>
      </c>
      <c r="G51" s="3" t="s">
        <v>24</v>
      </c>
      <c r="H51" s="3">
        <v>4</v>
      </c>
      <c r="I51" s="5">
        <v>129</v>
      </c>
      <c r="J51" s="5">
        <f t="shared" si="3"/>
        <v>516</v>
      </c>
      <c r="K51" s="5">
        <v>80.599999999999994</v>
      </c>
      <c r="L51" s="5">
        <f t="shared" si="4"/>
        <v>193.60000000000002</v>
      </c>
      <c r="M51" s="6">
        <f t="shared" si="5"/>
        <v>0.37519379844961243</v>
      </c>
    </row>
    <row r="52" spans="1:13">
      <c r="A52" s="3" t="s">
        <v>86</v>
      </c>
      <c r="B52" s="4">
        <v>46121</v>
      </c>
      <c r="C52" s="3" t="s">
        <v>30</v>
      </c>
      <c r="D52" s="3" t="s">
        <v>21</v>
      </c>
      <c r="E52" s="3" t="s">
        <v>32</v>
      </c>
      <c r="F52" s="3" t="s">
        <v>17</v>
      </c>
      <c r="G52" s="3" t="s">
        <v>36</v>
      </c>
      <c r="H52" s="3">
        <v>9</v>
      </c>
      <c r="I52" s="5">
        <v>49</v>
      </c>
      <c r="J52" s="5">
        <f t="shared" si="3"/>
        <v>441</v>
      </c>
      <c r="K52" s="5">
        <v>37</v>
      </c>
      <c r="L52" s="5">
        <f t="shared" si="4"/>
        <v>108</v>
      </c>
      <c r="M52" s="6">
        <f t="shared" si="5"/>
        <v>0.24489795918367346</v>
      </c>
    </row>
    <row r="53" spans="1:13">
      <c r="A53" s="3" t="s">
        <v>87</v>
      </c>
      <c r="B53" s="4">
        <v>46139</v>
      </c>
      <c r="C53" s="3" t="s">
        <v>30</v>
      </c>
      <c r="D53" s="3" t="s">
        <v>15</v>
      </c>
      <c r="E53" s="3" t="s">
        <v>32</v>
      </c>
      <c r="F53" s="3" t="s">
        <v>17</v>
      </c>
      <c r="G53" s="3" t="s">
        <v>36</v>
      </c>
      <c r="H53" s="3">
        <v>10</v>
      </c>
      <c r="I53" s="5">
        <v>599</v>
      </c>
      <c r="J53" s="5">
        <f t="shared" si="3"/>
        <v>5990</v>
      </c>
      <c r="K53" s="5">
        <v>427.48</v>
      </c>
      <c r="L53" s="5">
        <f t="shared" si="4"/>
        <v>1715.1999999999998</v>
      </c>
      <c r="M53" s="6">
        <f t="shared" si="5"/>
        <v>0.2863439065108514</v>
      </c>
    </row>
    <row r="54" spans="1:13">
      <c r="A54" s="3" t="s">
        <v>88</v>
      </c>
      <c r="B54" s="4">
        <v>46048</v>
      </c>
      <c r="C54" s="3" t="s">
        <v>20</v>
      </c>
      <c r="D54" s="3" t="s">
        <v>15</v>
      </c>
      <c r="E54" s="3" t="s">
        <v>50</v>
      </c>
      <c r="F54" s="3" t="s">
        <v>23</v>
      </c>
      <c r="G54" s="3" t="s">
        <v>18</v>
      </c>
      <c r="H54" s="3">
        <v>9</v>
      </c>
      <c r="I54" s="5">
        <v>399</v>
      </c>
      <c r="J54" s="5">
        <f t="shared" si="3"/>
        <v>3591</v>
      </c>
      <c r="K54" s="5">
        <v>274.14999999999998</v>
      </c>
      <c r="L54" s="5">
        <f t="shared" si="4"/>
        <v>1123.6500000000001</v>
      </c>
      <c r="M54" s="6">
        <f t="shared" si="5"/>
        <v>0.31290726817042608</v>
      </c>
    </row>
    <row r="55" spans="1:13">
      <c r="A55" s="3" t="s">
        <v>89</v>
      </c>
      <c r="B55" s="4">
        <v>46054</v>
      </c>
      <c r="C55" s="3" t="s">
        <v>14</v>
      </c>
      <c r="D55" s="3" t="s">
        <v>21</v>
      </c>
      <c r="E55" s="3" t="s">
        <v>50</v>
      </c>
      <c r="F55" s="3" t="s">
        <v>23</v>
      </c>
      <c r="G55" s="3" t="s">
        <v>24</v>
      </c>
      <c r="H55" s="3">
        <v>8</v>
      </c>
      <c r="I55" s="5">
        <v>99</v>
      </c>
      <c r="J55" s="5">
        <f t="shared" si="3"/>
        <v>792</v>
      </c>
      <c r="K55" s="5">
        <v>65.59</v>
      </c>
      <c r="L55" s="5">
        <f t="shared" si="4"/>
        <v>267.27999999999997</v>
      </c>
      <c r="M55" s="6">
        <f t="shared" si="5"/>
        <v>0.33747474747474743</v>
      </c>
    </row>
    <row r="56" spans="1:13">
      <c r="A56" s="3" t="s">
        <v>90</v>
      </c>
      <c r="B56" s="4">
        <v>46073</v>
      </c>
      <c r="C56" s="3" t="s">
        <v>14</v>
      </c>
      <c r="D56" s="3" t="s">
        <v>39</v>
      </c>
      <c r="E56" s="3" t="s">
        <v>43</v>
      </c>
      <c r="F56" s="3" t="s">
        <v>28</v>
      </c>
      <c r="G56" s="3" t="s">
        <v>24</v>
      </c>
      <c r="H56" s="3">
        <v>11</v>
      </c>
      <c r="I56" s="5">
        <v>129</v>
      </c>
      <c r="J56" s="5">
        <f t="shared" si="3"/>
        <v>1419</v>
      </c>
      <c r="K56" s="5">
        <v>85.87</v>
      </c>
      <c r="L56" s="5">
        <f t="shared" si="4"/>
        <v>474.42999999999995</v>
      </c>
      <c r="M56" s="6">
        <f t="shared" si="5"/>
        <v>0.33434108527131778</v>
      </c>
    </row>
    <row r="57" spans="1:13">
      <c r="A57" s="3" t="s">
        <v>91</v>
      </c>
      <c r="B57" s="4">
        <v>46050</v>
      </c>
      <c r="C57" s="3" t="s">
        <v>20</v>
      </c>
      <c r="D57" s="3" t="s">
        <v>26</v>
      </c>
      <c r="E57" s="3" t="s">
        <v>50</v>
      </c>
      <c r="F57" s="3" t="s">
        <v>23</v>
      </c>
      <c r="G57" s="3" t="s">
        <v>24</v>
      </c>
      <c r="H57" s="3">
        <v>12</v>
      </c>
      <c r="I57" s="5">
        <v>199</v>
      </c>
      <c r="J57" s="5">
        <f t="shared" si="3"/>
        <v>2388</v>
      </c>
      <c r="K57" s="5">
        <v>117.13</v>
      </c>
      <c r="L57" s="5">
        <f t="shared" si="4"/>
        <v>982.44</v>
      </c>
      <c r="M57" s="6">
        <f t="shared" si="5"/>
        <v>0.4114070351758794</v>
      </c>
    </row>
    <row r="58" spans="1:13">
      <c r="A58" s="3" t="s">
        <v>92</v>
      </c>
      <c r="B58" s="4">
        <v>46136</v>
      </c>
      <c r="C58" s="3" t="s">
        <v>30</v>
      </c>
      <c r="D58" s="3" t="s">
        <v>15</v>
      </c>
      <c r="E58" s="3" t="s">
        <v>16</v>
      </c>
      <c r="F58" s="3" t="s">
        <v>17</v>
      </c>
      <c r="G58" s="3" t="s">
        <v>24</v>
      </c>
      <c r="H58" s="3">
        <v>12</v>
      </c>
      <c r="I58" s="5">
        <v>75</v>
      </c>
      <c r="J58" s="5">
        <f t="shared" si="3"/>
        <v>900</v>
      </c>
      <c r="K58" s="5">
        <v>49.31</v>
      </c>
      <c r="L58" s="5">
        <f t="shared" si="4"/>
        <v>308.27999999999997</v>
      </c>
      <c r="M58" s="6">
        <f t="shared" si="5"/>
        <v>0.3425333333333333</v>
      </c>
    </row>
    <row r="59" spans="1:13">
      <c r="A59" s="3" t="s">
        <v>93</v>
      </c>
      <c r="B59" s="4">
        <v>46085</v>
      </c>
      <c r="C59" s="3" t="s">
        <v>38</v>
      </c>
      <c r="D59" s="3" t="s">
        <v>31</v>
      </c>
      <c r="E59" s="3" t="s">
        <v>16</v>
      </c>
      <c r="F59" s="3" t="s">
        <v>17</v>
      </c>
      <c r="G59" s="3" t="s">
        <v>24</v>
      </c>
      <c r="H59" s="3">
        <v>12</v>
      </c>
      <c r="I59" s="5">
        <v>249</v>
      </c>
      <c r="J59" s="5">
        <f t="shared" si="3"/>
        <v>2988</v>
      </c>
      <c r="K59" s="5">
        <v>203.78</v>
      </c>
      <c r="L59" s="5">
        <f t="shared" si="4"/>
        <v>542.63999999999987</v>
      </c>
      <c r="M59" s="6">
        <f t="shared" si="5"/>
        <v>0.18160642570281121</v>
      </c>
    </row>
    <row r="60" spans="1:13">
      <c r="A60" s="3" t="s">
        <v>94</v>
      </c>
      <c r="B60" s="4">
        <v>46074</v>
      </c>
      <c r="C60" s="3" t="s">
        <v>14</v>
      </c>
      <c r="D60" s="3" t="s">
        <v>15</v>
      </c>
      <c r="E60" s="3" t="s">
        <v>22</v>
      </c>
      <c r="F60" s="3" t="s">
        <v>23</v>
      </c>
      <c r="G60" s="3" t="s">
        <v>24</v>
      </c>
      <c r="H60" s="3">
        <v>6</v>
      </c>
      <c r="I60" s="5">
        <v>199</v>
      </c>
      <c r="J60" s="5">
        <f t="shared" si="3"/>
        <v>1194</v>
      </c>
      <c r="K60" s="5">
        <v>114.4</v>
      </c>
      <c r="L60" s="5">
        <f t="shared" si="4"/>
        <v>507.59999999999991</v>
      </c>
      <c r="M60" s="6">
        <f t="shared" si="5"/>
        <v>0.42512562814070343</v>
      </c>
    </row>
    <row r="61" spans="1:13">
      <c r="A61" s="3" t="s">
        <v>95</v>
      </c>
      <c r="B61" s="4">
        <v>46069</v>
      </c>
      <c r="C61" s="3" t="s">
        <v>14</v>
      </c>
      <c r="D61" s="3" t="s">
        <v>39</v>
      </c>
      <c r="E61" s="3" t="s">
        <v>34</v>
      </c>
      <c r="F61" s="3" t="s">
        <v>17</v>
      </c>
      <c r="G61" s="3" t="s">
        <v>18</v>
      </c>
      <c r="H61" s="3">
        <v>8</v>
      </c>
      <c r="I61" s="5">
        <v>399</v>
      </c>
      <c r="J61" s="5">
        <f t="shared" si="3"/>
        <v>3192</v>
      </c>
      <c r="K61" s="5">
        <v>295.2</v>
      </c>
      <c r="L61" s="5">
        <f t="shared" si="4"/>
        <v>830.40000000000009</v>
      </c>
      <c r="M61" s="6">
        <f t="shared" si="5"/>
        <v>0.26015037593984963</v>
      </c>
    </row>
    <row r="62" spans="1:13">
      <c r="A62" s="3" t="s">
        <v>96</v>
      </c>
      <c r="B62" s="4">
        <v>46072</v>
      </c>
      <c r="C62" s="3" t="s">
        <v>14</v>
      </c>
      <c r="D62" s="3" t="s">
        <v>21</v>
      </c>
      <c r="E62" s="3" t="s">
        <v>22</v>
      </c>
      <c r="F62" s="3" t="s">
        <v>23</v>
      </c>
      <c r="G62" s="3" t="s">
        <v>18</v>
      </c>
      <c r="H62" s="3">
        <v>5</v>
      </c>
      <c r="I62" s="5">
        <v>599</v>
      </c>
      <c r="J62" s="5">
        <f t="shared" si="3"/>
        <v>2995</v>
      </c>
      <c r="K62" s="5">
        <v>484.84</v>
      </c>
      <c r="L62" s="5">
        <f t="shared" si="4"/>
        <v>570.80000000000018</v>
      </c>
      <c r="M62" s="6">
        <f t="shared" si="5"/>
        <v>0.19058430717863112</v>
      </c>
    </row>
    <row r="63" spans="1:13">
      <c r="A63" s="3" t="s">
        <v>97</v>
      </c>
      <c r="B63" s="4">
        <v>46037</v>
      </c>
      <c r="C63" s="3" t="s">
        <v>20</v>
      </c>
      <c r="D63" s="3" t="s">
        <v>26</v>
      </c>
      <c r="E63" s="3" t="s">
        <v>40</v>
      </c>
      <c r="F63" s="3" t="s">
        <v>17</v>
      </c>
      <c r="G63" s="3" t="s">
        <v>24</v>
      </c>
      <c r="H63" s="3">
        <v>5</v>
      </c>
      <c r="I63" s="5">
        <v>149</v>
      </c>
      <c r="J63" s="5">
        <f t="shared" si="3"/>
        <v>745</v>
      </c>
      <c r="K63" s="5">
        <v>83.54</v>
      </c>
      <c r="L63" s="5">
        <f t="shared" si="4"/>
        <v>327.29999999999995</v>
      </c>
      <c r="M63" s="6">
        <f t="shared" si="5"/>
        <v>0.43932885906040264</v>
      </c>
    </row>
    <row r="64" spans="1:13">
      <c r="A64" s="3" t="s">
        <v>98</v>
      </c>
      <c r="B64" s="4">
        <v>46122</v>
      </c>
      <c r="C64" s="3" t="s">
        <v>30</v>
      </c>
      <c r="D64" s="3" t="s">
        <v>39</v>
      </c>
      <c r="E64" s="3" t="s">
        <v>16</v>
      </c>
      <c r="F64" s="3" t="s">
        <v>17</v>
      </c>
      <c r="G64" s="3" t="s">
        <v>24</v>
      </c>
      <c r="H64" s="3">
        <v>7</v>
      </c>
      <c r="I64" s="5">
        <v>149</v>
      </c>
      <c r="J64" s="5">
        <f t="shared" si="3"/>
        <v>1043</v>
      </c>
      <c r="K64" s="5">
        <v>98.28</v>
      </c>
      <c r="L64" s="5">
        <f t="shared" si="4"/>
        <v>355.03999999999996</v>
      </c>
      <c r="M64" s="6">
        <f t="shared" si="5"/>
        <v>0.34040268456375833</v>
      </c>
    </row>
    <row r="65" spans="1:13">
      <c r="A65" s="3" t="s">
        <v>99</v>
      </c>
      <c r="B65" s="4">
        <v>46091</v>
      </c>
      <c r="C65" s="3" t="s">
        <v>38</v>
      </c>
      <c r="D65" s="3" t="s">
        <v>39</v>
      </c>
      <c r="E65" s="3" t="s">
        <v>43</v>
      </c>
      <c r="F65" s="3" t="s">
        <v>28</v>
      </c>
      <c r="G65" s="3" t="s">
        <v>24</v>
      </c>
      <c r="H65" s="3">
        <v>5</v>
      </c>
      <c r="I65" s="5">
        <v>49</v>
      </c>
      <c r="J65" s="5">
        <f t="shared" si="3"/>
        <v>245</v>
      </c>
      <c r="K65" s="5">
        <v>37.53</v>
      </c>
      <c r="L65" s="5">
        <f t="shared" si="4"/>
        <v>57.349999999999994</v>
      </c>
      <c r="M65" s="6">
        <f t="shared" si="5"/>
        <v>0.2340816326530612</v>
      </c>
    </row>
    <row r="66" spans="1:13">
      <c r="A66" s="3" t="s">
        <v>100</v>
      </c>
      <c r="B66" s="4">
        <v>46046</v>
      </c>
      <c r="C66" s="3" t="s">
        <v>20</v>
      </c>
      <c r="D66" s="3" t="s">
        <v>26</v>
      </c>
      <c r="E66" s="3" t="s">
        <v>27</v>
      </c>
      <c r="F66" s="3" t="s">
        <v>28</v>
      </c>
      <c r="G66" s="3" t="s">
        <v>36</v>
      </c>
      <c r="H66" s="3">
        <v>1</v>
      </c>
      <c r="I66" s="5">
        <v>75</v>
      </c>
      <c r="J66" s="5">
        <f t="shared" ref="J66:J97" si="6">H66*I66</f>
        <v>75</v>
      </c>
      <c r="K66" s="5">
        <v>57.48</v>
      </c>
      <c r="L66" s="5">
        <f t="shared" ref="L66:L97" si="7">J66-(H66*K66)</f>
        <v>17.520000000000003</v>
      </c>
      <c r="M66" s="6">
        <f t="shared" ref="M66:M97" si="8">IFERROR(L66/J66,0)</f>
        <v>0.23360000000000003</v>
      </c>
    </row>
    <row r="67" spans="1:13">
      <c r="A67" s="3" t="s">
        <v>101</v>
      </c>
      <c r="B67" s="4">
        <v>46033</v>
      </c>
      <c r="C67" s="3" t="s">
        <v>20</v>
      </c>
      <c r="D67" s="3" t="s">
        <v>26</v>
      </c>
      <c r="E67" s="3" t="s">
        <v>40</v>
      </c>
      <c r="F67" s="3" t="s">
        <v>17</v>
      </c>
      <c r="G67" s="3" t="s">
        <v>36</v>
      </c>
      <c r="H67" s="3">
        <v>2</v>
      </c>
      <c r="I67" s="5">
        <v>399</v>
      </c>
      <c r="J67" s="5">
        <f t="shared" si="6"/>
        <v>798</v>
      </c>
      <c r="K67" s="5">
        <v>220.69</v>
      </c>
      <c r="L67" s="5">
        <f t="shared" si="7"/>
        <v>356.62</v>
      </c>
      <c r="M67" s="6">
        <f t="shared" si="8"/>
        <v>0.44689223057644112</v>
      </c>
    </row>
    <row r="68" spans="1:13">
      <c r="A68" s="3" t="s">
        <v>102</v>
      </c>
      <c r="B68" s="4">
        <v>46093</v>
      </c>
      <c r="C68" s="3" t="s">
        <v>38</v>
      </c>
      <c r="D68" s="3" t="s">
        <v>39</v>
      </c>
      <c r="E68" s="3" t="s">
        <v>27</v>
      </c>
      <c r="F68" s="3" t="s">
        <v>28</v>
      </c>
      <c r="G68" s="3" t="s">
        <v>18</v>
      </c>
      <c r="H68" s="3">
        <v>3</v>
      </c>
      <c r="I68" s="5">
        <v>49</v>
      </c>
      <c r="J68" s="5">
        <f t="shared" si="6"/>
        <v>147</v>
      </c>
      <c r="K68" s="5">
        <v>33.92</v>
      </c>
      <c r="L68" s="5">
        <f t="shared" si="7"/>
        <v>45.239999999999995</v>
      </c>
      <c r="M68" s="6">
        <f t="shared" si="8"/>
        <v>0.3077551020408163</v>
      </c>
    </row>
    <row r="69" spans="1:13">
      <c r="A69" s="3" t="s">
        <v>103</v>
      </c>
      <c r="B69" s="4">
        <v>46053</v>
      </c>
      <c r="C69" s="3" t="s">
        <v>20</v>
      </c>
      <c r="D69" s="3" t="s">
        <v>31</v>
      </c>
      <c r="E69" s="3" t="s">
        <v>32</v>
      </c>
      <c r="F69" s="3" t="s">
        <v>17</v>
      </c>
      <c r="G69" s="3" t="s">
        <v>36</v>
      </c>
      <c r="H69" s="3">
        <v>1</v>
      </c>
      <c r="I69" s="5">
        <v>99</v>
      </c>
      <c r="J69" s="5">
        <f t="shared" si="6"/>
        <v>99</v>
      </c>
      <c r="K69" s="5">
        <v>59.84</v>
      </c>
      <c r="L69" s="5">
        <f t="shared" si="7"/>
        <v>39.159999999999997</v>
      </c>
      <c r="M69" s="6">
        <f t="shared" si="8"/>
        <v>0.39555555555555549</v>
      </c>
    </row>
    <row r="70" spans="1:13">
      <c r="A70" s="3" t="s">
        <v>104</v>
      </c>
      <c r="B70" s="4">
        <v>46062</v>
      </c>
      <c r="C70" s="3" t="s">
        <v>14</v>
      </c>
      <c r="D70" s="3" t="s">
        <v>21</v>
      </c>
      <c r="E70" s="3" t="s">
        <v>50</v>
      </c>
      <c r="F70" s="3" t="s">
        <v>23</v>
      </c>
      <c r="G70" s="3" t="s">
        <v>24</v>
      </c>
      <c r="H70" s="3">
        <v>5</v>
      </c>
      <c r="I70" s="5">
        <v>399</v>
      </c>
      <c r="J70" s="5">
        <f t="shared" si="6"/>
        <v>1995</v>
      </c>
      <c r="K70" s="5">
        <v>273.32</v>
      </c>
      <c r="L70" s="5">
        <f t="shared" si="7"/>
        <v>628.40000000000009</v>
      </c>
      <c r="M70" s="6">
        <f t="shared" si="8"/>
        <v>0.31498746867167926</v>
      </c>
    </row>
    <row r="71" spans="1:13">
      <c r="A71" s="3" t="s">
        <v>105</v>
      </c>
      <c r="B71" s="4">
        <v>46045</v>
      </c>
      <c r="C71" s="3" t="s">
        <v>20</v>
      </c>
      <c r="D71" s="3" t="s">
        <v>39</v>
      </c>
      <c r="E71" s="3" t="s">
        <v>50</v>
      </c>
      <c r="F71" s="3" t="s">
        <v>23</v>
      </c>
      <c r="G71" s="3" t="s">
        <v>24</v>
      </c>
      <c r="H71" s="3">
        <v>5</v>
      </c>
      <c r="I71" s="5">
        <v>49</v>
      </c>
      <c r="J71" s="5">
        <f t="shared" si="6"/>
        <v>245</v>
      </c>
      <c r="K71" s="5">
        <v>27.15</v>
      </c>
      <c r="L71" s="5">
        <f t="shared" si="7"/>
        <v>109.25</v>
      </c>
      <c r="M71" s="6">
        <f t="shared" si="8"/>
        <v>0.44591836734693879</v>
      </c>
    </row>
    <row r="72" spans="1:13">
      <c r="A72" s="3" t="s">
        <v>106</v>
      </c>
      <c r="B72" s="4">
        <v>46116</v>
      </c>
      <c r="C72" s="3" t="s">
        <v>30</v>
      </c>
      <c r="D72" s="3" t="s">
        <v>21</v>
      </c>
      <c r="E72" s="3" t="s">
        <v>40</v>
      </c>
      <c r="F72" s="3" t="s">
        <v>17</v>
      </c>
      <c r="G72" s="3" t="s">
        <v>36</v>
      </c>
      <c r="H72" s="3">
        <v>4</v>
      </c>
      <c r="I72" s="5">
        <v>399</v>
      </c>
      <c r="J72" s="5">
        <f t="shared" si="6"/>
        <v>1596</v>
      </c>
      <c r="K72" s="5">
        <v>230.9</v>
      </c>
      <c r="L72" s="5">
        <f t="shared" si="7"/>
        <v>672.4</v>
      </c>
      <c r="M72" s="6">
        <f t="shared" si="8"/>
        <v>0.4213032581453634</v>
      </c>
    </row>
    <row r="73" spans="1:13">
      <c r="A73" s="3" t="s">
        <v>107</v>
      </c>
      <c r="B73" s="4">
        <v>46127</v>
      </c>
      <c r="C73" s="3" t="s">
        <v>30</v>
      </c>
      <c r="D73" s="3" t="s">
        <v>15</v>
      </c>
      <c r="E73" s="3" t="s">
        <v>27</v>
      </c>
      <c r="F73" s="3" t="s">
        <v>28</v>
      </c>
      <c r="G73" s="3" t="s">
        <v>18</v>
      </c>
      <c r="H73" s="3">
        <v>7</v>
      </c>
      <c r="I73" s="5">
        <v>599</v>
      </c>
      <c r="J73" s="5">
        <f t="shared" si="6"/>
        <v>4193</v>
      </c>
      <c r="K73" s="5">
        <v>379.23</v>
      </c>
      <c r="L73" s="5">
        <f t="shared" si="7"/>
        <v>1538.3899999999999</v>
      </c>
      <c r="M73" s="6">
        <f t="shared" si="8"/>
        <v>0.3668948247078464</v>
      </c>
    </row>
    <row r="74" spans="1:13">
      <c r="A74" s="3" t="s">
        <v>108</v>
      </c>
      <c r="B74" s="4">
        <v>46050</v>
      </c>
      <c r="C74" s="3" t="s">
        <v>20</v>
      </c>
      <c r="D74" s="3" t="s">
        <v>39</v>
      </c>
      <c r="E74" s="3" t="s">
        <v>40</v>
      </c>
      <c r="F74" s="3" t="s">
        <v>17</v>
      </c>
      <c r="G74" s="3" t="s">
        <v>24</v>
      </c>
      <c r="H74" s="3">
        <v>12</v>
      </c>
      <c r="I74" s="5">
        <v>99</v>
      </c>
      <c r="J74" s="5">
        <f t="shared" si="6"/>
        <v>1188</v>
      </c>
      <c r="K74" s="5">
        <v>65.27</v>
      </c>
      <c r="L74" s="5">
        <f t="shared" si="7"/>
        <v>404.76</v>
      </c>
      <c r="M74" s="6">
        <f t="shared" si="8"/>
        <v>0.34070707070707068</v>
      </c>
    </row>
    <row r="75" spans="1:13">
      <c r="A75" s="3" t="s">
        <v>109</v>
      </c>
      <c r="B75" s="4">
        <v>46067</v>
      </c>
      <c r="C75" s="3" t="s">
        <v>14</v>
      </c>
      <c r="D75" s="3" t="s">
        <v>31</v>
      </c>
      <c r="E75" s="3" t="s">
        <v>34</v>
      </c>
      <c r="F75" s="3" t="s">
        <v>17</v>
      </c>
      <c r="G75" s="3" t="s">
        <v>24</v>
      </c>
      <c r="H75" s="3">
        <v>2</v>
      </c>
      <c r="I75" s="5">
        <v>149</v>
      </c>
      <c r="J75" s="5">
        <f t="shared" si="6"/>
        <v>298</v>
      </c>
      <c r="K75" s="5">
        <v>99.28</v>
      </c>
      <c r="L75" s="5">
        <f t="shared" si="7"/>
        <v>99.44</v>
      </c>
      <c r="M75" s="6">
        <f t="shared" si="8"/>
        <v>0.33369127516778524</v>
      </c>
    </row>
    <row r="76" spans="1:13">
      <c r="A76" s="3" t="s">
        <v>110</v>
      </c>
      <c r="B76" s="4">
        <v>46030</v>
      </c>
      <c r="C76" s="3" t="s">
        <v>20</v>
      </c>
      <c r="D76" s="3" t="s">
        <v>15</v>
      </c>
      <c r="E76" s="3" t="s">
        <v>32</v>
      </c>
      <c r="F76" s="3" t="s">
        <v>17</v>
      </c>
      <c r="G76" s="3" t="s">
        <v>18</v>
      </c>
      <c r="H76" s="3">
        <v>11</v>
      </c>
      <c r="I76" s="5">
        <v>149</v>
      </c>
      <c r="J76" s="5">
        <f t="shared" si="6"/>
        <v>1639</v>
      </c>
      <c r="K76" s="5">
        <v>106.04</v>
      </c>
      <c r="L76" s="5">
        <f t="shared" si="7"/>
        <v>472.55999999999995</v>
      </c>
      <c r="M76" s="6">
        <f t="shared" si="8"/>
        <v>0.28832214765100667</v>
      </c>
    </row>
    <row r="77" spans="1:13">
      <c r="A77" s="3" t="s">
        <v>111</v>
      </c>
      <c r="B77" s="4">
        <v>46111</v>
      </c>
      <c r="C77" s="3" t="s">
        <v>38</v>
      </c>
      <c r="D77" s="3" t="s">
        <v>26</v>
      </c>
      <c r="E77" s="3" t="s">
        <v>50</v>
      </c>
      <c r="F77" s="3" t="s">
        <v>23</v>
      </c>
      <c r="G77" s="3" t="s">
        <v>36</v>
      </c>
      <c r="H77" s="3">
        <v>3</v>
      </c>
      <c r="I77" s="5">
        <v>99</v>
      </c>
      <c r="J77" s="5">
        <f t="shared" si="6"/>
        <v>297</v>
      </c>
      <c r="K77" s="5">
        <v>61.64</v>
      </c>
      <c r="L77" s="5">
        <f t="shared" si="7"/>
        <v>112.07999999999998</v>
      </c>
      <c r="M77" s="6">
        <f t="shared" si="8"/>
        <v>0.37737373737373731</v>
      </c>
    </row>
    <row r="78" spans="1:13">
      <c r="A78" s="3" t="s">
        <v>112</v>
      </c>
      <c r="B78" s="4">
        <v>46023</v>
      </c>
      <c r="C78" s="3" t="s">
        <v>20</v>
      </c>
      <c r="D78" s="3" t="s">
        <v>39</v>
      </c>
      <c r="E78" s="3" t="s">
        <v>50</v>
      </c>
      <c r="F78" s="3" t="s">
        <v>23</v>
      </c>
      <c r="G78" s="3" t="s">
        <v>36</v>
      </c>
      <c r="H78" s="3">
        <v>9</v>
      </c>
      <c r="I78" s="5">
        <v>199</v>
      </c>
      <c r="J78" s="5">
        <f t="shared" si="6"/>
        <v>1791</v>
      </c>
      <c r="K78" s="5">
        <v>122.58</v>
      </c>
      <c r="L78" s="5">
        <f t="shared" si="7"/>
        <v>687.78</v>
      </c>
      <c r="M78" s="6">
        <f t="shared" si="8"/>
        <v>0.38402010050251256</v>
      </c>
    </row>
    <row r="79" spans="1:13">
      <c r="A79" s="3" t="s">
        <v>113</v>
      </c>
      <c r="B79" s="4">
        <v>46135</v>
      </c>
      <c r="C79" s="3" t="s">
        <v>30</v>
      </c>
      <c r="D79" s="3" t="s">
        <v>31</v>
      </c>
      <c r="E79" s="3" t="s">
        <v>50</v>
      </c>
      <c r="F79" s="3" t="s">
        <v>23</v>
      </c>
      <c r="G79" s="3" t="s">
        <v>36</v>
      </c>
      <c r="H79" s="3">
        <v>3</v>
      </c>
      <c r="I79" s="5">
        <v>49</v>
      </c>
      <c r="J79" s="5">
        <f t="shared" si="6"/>
        <v>147</v>
      </c>
      <c r="K79" s="5">
        <v>31.39</v>
      </c>
      <c r="L79" s="5">
        <f t="shared" si="7"/>
        <v>52.83</v>
      </c>
      <c r="M79" s="6">
        <f t="shared" si="8"/>
        <v>0.3593877551020408</v>
      </c>
    </row>
    <row r="80" spans="1:13">
      <c r="A80" s="3" t="s">
        <v>114</v>
      </c>
      <c r="B80" s="4">
        <v>46033</v>
      </c>
      <c r="C80" s="3" t="s">
        <v>20</v>
      </c>
      <c r="D80" s="3" t="s">
        <v>39</v>
      </c>
      <c r="E80" s="3" t="s">
        <v>43</v>
      </c>
      <c r="F80" s="3" t="s">
        <v>28</v>
      </c>
      <c r="G80" s="3" t="s">
        <v>18</v>
      </c>
      <c r="H80" s="3">
        <v>11</v>
      </c>
      <c r="I80" s="5">
        <v>129</v>
      </c>
      <c r="J80" s="5">
        <f t="shared" si="6"/>
        <v>1419</v>
      </c>
      <c r="K80" s="5">
        <v>79.59</v>
      </c>
      <c r="L80" s="5">
        <f t="shared" si="7"/>
        <v>543.51</v>
      </c>
      <c r="M80" s="6">
        <f t="shared" si="8"/>
        <v>0.38302325581395347</v>
      </c>
    </row>
    <row r="81" spans="1:13">
      <c r="A81" s="3" t="s">
        <v>115</v>
      </c>
      <c r="B81" s="4">
        <v>46122</v>
      </c>
      <c r="C81" s="3" t="s">
        <v>30</v>
      </c>
      <c r="D81" s="3" t="s">
        <v>26</v>
      </c>
      <c r="E81" s="3" t="s">
        <v>34</v>
      </c>
      <c r="F81" s="3" t="s">
        <v>17</v>
      </c>
      <c r="G81" s="3" t="s">
        <v>36</v>
      </c>
      <c r="H81" s="3">
        <v>2</v>
      </c>
      <c r="I81" s="5">
        <v>99</v>
      </c>
      <c r="J81" s="5">
        <f t="shared" si="6"/>
        <v>198</v>
      </c>
      <c r="K81" s="5">
        <v>65.13</v>
      </c>
      <c r="L81" s="5">
        <f t="shared" si="7"/>
        <v>67.740000000000009</v>
      </c>
      <c r="M81" s="6">
        <f t="shared" si="8"/>
        <v>0.34212121212121216</v>
      </c>
    </row>
    <row r="82" spans="1:13">
      <c r="A82" s="3" t="s">
        <v>116</v>
      </c>
      <c r="B82" s="4">
        <v>46028</v>
      </c>
      <c r="C82" s="3" t="s">
        <v>20</v>
      </c>
      <c r="D82" s="3" t="s">
        <v>26</v>
      </c>
      <c r="E82" s="3" t="s">
        <v>27</v>
      </c>
      <c r="F82" s="3" t="s">
        <v>28</v>
      </c>
      <c r="G82" s="3" t="s">
        <v>36</v>
      </c>
      <c r="H82" s="3">
        <v>5</v>
      </c>
      <c r="I82" s="5">
        <v>129</v>
      </c>
      <c r="J82" s="5">
        <f t="shared" si="6"/>
        <v>645</v>
      </c>
      <c r="K82" s="5">
        <v>73.89</v>
      </c>
      <c r="L82" s="5">
        <f t="shared" si="7"/>
        <v>275.55</v>
      </c>
      <c r="M82" s="6">
        <f t="shared" si="8"/>
        <v>0.42720930232558141</v>
      </c>
    </row>
    <row r="83" spans="1:13">
      <c r="A83" s="3" t="s">
        <v>117</v>
      </c>
      <c r="B83" s="4">
        <v>46090</v>
      </c>
      <c r="C83" s="3" t="s">
        <v>38</v>
      </c>
      <c r="D83" s="3" t="s">
        <v>21</v>
      </c>
      <c r="E83" s="3" t="s">
        <v>16</v>
      </c>
      <c r="F83" s="3" t="s">
        <v>17</v>
      </c>
      <c r="G83" s="3" t="s">
        <v>36</v>
      </c>
      <c r="H83" s="3">
        <v>6</v>
      </c>
      <c r="I83" s="5">
        <v>399</v>
      </c>
      <c r="J83" s="5">
        <f t="shared" si="6"/>
        <v>2394</v>
      </c>
      <c r="K83" s="5">
        <v>235.55</v>
      </c>
      <c r="L83" s="5">
        <f t="shared" si="7"/>
        <v>980.69999999999982</v>
      </c>
      <c r="M83" s="6">
        <f t="shared" si="8"/>
        <v>0.40964912280701749</v>
      </c>
    </row>
    <row r="84" spans="1:13">
      <c r="A84" s="3" t="s">
        <v>118</v>
      </c>
      <c r="B84" s="4">
        <v>46115</v>
      </c>
      <c r="C84" s="3" t="s">
        <v>30</v>
      </c>
      <c r="D84" s="3" t="s">
        <v>26</v>
      </c>
      <c r="E84" s="3" t="s">
        <v>16</v>
      </c>
      <c r="F84" s="3" t="s">
        <v>17</v>
      </c>
      <c r="G84" s="3" t="s">
        <v>18</v>
      </c>
      <c r="H84" s="3">
        <v>9</v>
      </c>
      <c r="I84" s="5">
        <v>249</v>
      </c>
      <c r="J84" s="5">
        <f t="shared" si="6"/>
        <v>2241</v>
      </c>
      <c r="K84" s="5">
        <v>186.29</v>
      </c>
      <c r="L84" s="5">
        <f t="shared" si="7"/>
        <v>564.3900000000001</v>
      </c>
      <c r="M84" s="6">
        <f t="shared" si="8"/>
        <v>0.25184738955823299</v>
      </c>
    </row>
    <row r="85" spans="1:13">
      <c r="A85" s="3" t="s">
        <v>119</v>
      </c>
      <c r="B85" s="4">
        <v>46126</v>
      </c>
      <c r="C85" s="3" t="s">
        <v>30</v>
      </c>
      <c r="D85" s="3" t="s">
        <v>21</v>
      </c>
      <c r="E85" s="3" t="s">
        <v>16</v>
      </c>
      <c r="F85" s="3" t="s">
        <v>17</v>
      </c>
      <c r="G85" s="3" t="s">
        <v>18</v>
      </c>
      <c r="H85" s="3">
        <v>10</v>
      </c>
      <c r="I85" s="5">
        <v>49</v>
      </c>
      <c r="J85" s="5">
        <f t="shared" si="6"/>
        <v>490</v>
      </c>
      <c r="K85" s="5">
        <v>37.880000000000003</v>
      </c>
      <c r="L85" s="5">
        <f t="shared" si="7"/>
        <v>111.19999999999999</v>
      </c>
      <c r="M85" s="6">
        <f t="shared" si="8"/>
        <v>0.22693877551020405</v>
      </c>
    </row>
    <row r="86" spans="1:13">
      <c r="A86" s="3" t="s">
        <v>120</v>
      </c>
      <c r="B86" s="4">
        <v>46097</v>
      </c>
      <c r="C86" s="3" t="s">
        <v>38</v>
      </c>
      <c r="D86" s="3" t="s">
        <v>26</v>
      </c>
      <c r="E86" s="3" t="s">
        <v>40</v>
      </c>
      <c r="F86" s="3" t="s">
        <v>17</v>
      </c>
      <c r="G86" s="3" t="s">
        <v>24</v>
      </c>
      <c r="H86" s="3">
        <v>1</v>
      </c>
      <c r="I86" s="5">
        <v>99</v>
      </c>
      <c r="J86" s="5">
        <f t="shared" si="6"/>
        <v>99</v>
      </c>
      <c r="K86" s="5">
        <v>71.48</v>
      </c>
      <c r="L86" s="5">
        <f t="shared" si="7"/>
        <v>27.519999999999996</v>
      </c>
      <c r="M86" s="6">
        <f t="shared" si="8"/>
        <v>0.27797979797979794</v>
      </c>
    </row>
    <row r="87" spans="1:13">
      <c r="A87" s="3" t="s">
        <v>121</v>
      </c>
      <c r="B87" s="4">
        <v>46036</v>
      </c>
      <c r="C87" s="3" t="s">
        <v>20</v>
      </c>
      <c r="D87" s="3" t="s">
        <v>15</v>
      </c>
      <c r="E87" s="3" t="s">
        <v>27</v>
      </c>
      <c r="F87" s="3" t="s">
        <v>28</v>
      </c>
      <c r="G87" s="3" t="s">
        <v>18</v>
      </c>
      <c r="H87" s="3">
        <v>1</v>
      </c>
      <c r="I87" s="5">
        <v>49</v>
      </c>
      <c r="J87" s="5">
        <f t="shared" si="6"/>
        <v>49</v>
      </c>
      <c r="K87" s="5">
        <v>35.229999999999997</v>
      </c>
      <c r="L87" s="5">
        <f t="shared" si="7"/>
        <v>13.770000000000003</v>
      </c>
      <c r="M87" s="6">
        <f t="shared" si="8"/>
        <v>0.28102040816326535</v>
      </c>
    </row>
    <row r="88" spans="1:13">
      <c r="A88" s="3" t="s">
        <v>122</v>
      </c>
      <c r="B88" s="4">
        <v>46110</v>
      </c>
      <c r="C88" s="3" t="s">
        <v>38</v>
      </c>
      <c r="D88" s="3" t="s">
        <v>15</v>
      </c>
      <c r="E88" s="3" t="s">
        <v>40</v>
      </c>
      <c r="F88" s="3" t="s">
        <v>17</v>
      </c>
      <c r="G88" s="3" t="s">
        <v>36</v>
      </c>
      <c r="H88" s="3">
        <v>1</v>
      </c>
      <c r="I88" s="5">
        <v>399</v>
      </c>
      <c r="J88" s="5">
        <f t="shared" si="6"/>
        <v>399</v>
      </c>
      <c r="K88" s="5">
        <v>305.39</v>
      </c>
      <c r="L88" s="5">
        <f t="shared" si="7"/>
        <v>93.610000000000014</v>
      </c>
      <c r="M88" s="6">
        <f t="shared" si="8"/>
        <v>0.23461152882205516</v>
      </c>
    </row>
    <row r="89" spans="1:13">
      <c r="A89" s="3" t="s">
        <v>123</v>
      </c>
      <c r="B89" s="4">
        <v>46118</v>
      </c>
      <c r="C89" s="3" t="s">
        <v>30</v>
      </c>
      <c r="D89" s="3" t="s">
        <v>21</v>
      </c>
      <c r="E89" s="3" t="s">
        <v>32</v>
      </c>
      <c r="F89" s="3" t="s">
        <v>17</v>
      </c>
      <c r="G89" s="3" t="s">
        <v>24</v>
      </c>
      <c r="H89" s="3">
        <v>12</v>
      </c>
      <c r="I89" s="5">
        <v>399</v>
      </c>
      <c r="J89" s="5">
        <f t="shared" si="6"/>
        <v>4788</v>
      </c>
      <c r="K89" s="5">
        <v>246.62</v>
      </c>
      <c r="L89" s="5">
        <f t="shared" si="7"/>
        <v>1828.56</v>
      </c>
      <c r="M89" s="6">
        <f t="shared" si="8"/>
        <v>0.38190476190476191</v>
      </c>
    </row>
    <row r="90" spans="1:13">
      <c r="A90" s="3" t="s">
        <v>124</v>
      </c>
      <c r="B90" s="4">
        <v>46032</v>
      </c>
      <c r="C90" s="3" t="s">
        <v>20</v>
      </c>
      <c r="D90" s="3" t="s">
        <v>31</v>
      </c>
      <c r="E90" s="3" t="s">
        <v>50</v>
      </c>
      <c r="F90" s="3" t="s">
        <v>23</v>
      </c>
      <c r="G90" s="3" t="s">
        <v>18</v>
      </c>
      <c r="H90" s="3">
        <v>4</v>
      </c>
      <c r="I90" s="5">
        <v>129</v>
      </c>
      <c r="J90" s="5">
        <f t="shared" si="6"/>
        <v>516</v>
      </c>
      <c r="K90" s="5">
        <v>96.72</v>
      </c>
      <c r="L90" s="5">
        <f t="shared" si="7"/>
        <v>129.12</v>
      </c>
      <c r="M90" s="6">
        <f t="shared" si="8"/>
        <v>0.25023255813953488</v>
      </c>
    </row>
    <row r="91" spans="1:13">
      <c r="A91" s="3" t="s">
        <v>125</v>
      </c>
      <c r="B91" s="4">
        <v>46081</v>
      </c>
      <c r="C91" s="3" t="s">
        <v>14</v>
      </c>
      <c r="D91" s="3" t="s">
        <v>15</v>
      </c>
      <c r="E91" s="3" t="s">
        <v>43</v>
      </c>
      <c r="F91" s="3" t="s">
        <v>28</v>
      </c>
      <c r="G91" s="3" t="s">
        <v>24</v>
      </c>
      <c r="H91" s="3">
        <v>8</v>
      </c>
      <c r="I91" s="5">
        <v>149</v>
      </c>
      <c r="J91" s="5">
        <f t="shared" si="6"/>
        <v>1192</v>
      </c>
      <c r="K91" s="5">
        <v>112.81</v>
      </c>
      <c r="L91" s="5">
        <f t="shared" si="7"/>
        <v>289.52</v>
      </c>
      <c r="M91" s="6">
        <f t="shared" si="8"/>
        <v>0.24288590604026844</v>
      </c>
    </row>
    <row r="92" spans="1:13">
      <c r="A92" s="3" t="s">
        <v>126</v>
      </c>
      <c r="B92" s="4">
        <v>46101</v>
      </c>
      <c r="C92" s="3" t="s">
        <v>38</v>
      </c>
      <c r="D92" s="3" t="s">
        <v>26</v>
      </c>
      <c r="E92" s="3" t="s">
        <v>40</v>
      </c>
      <c r="F92" s="3" t="s">
        <v>17</v>
      </c>
      <c r="G92" s="3" t="s">
        <v>18</v>
      </c>
      <c r="H92" s="3">
        <v>3</v>
      </c>
      <c r="I92" s="5">
        <v>199</v>
      </c>
      <c r="J92" s="5">
        <f t="shared" si="6"/>
        <v>597</v>
      </c>
      <c r="K92" s="5">
        <v>123.09</v>
      </c>
      <c r="L92" s="5">
        <f t="shared" si="7"/>
        <v>227.73000000000002</v>
      </c>
      <c r="M92" s="6">
        <f t="shared" si="8"/>
        <v>0.38145728643216081</v>
      </c>
    </row>
    <row r="93" spans="1:13">
      <c r="A93" s="3" t="s">
        <v>127</v>
      </c>
      <c r="B93" s="4">
        <v>46118</v>
      </c>
      <c r="C93" s="3" t="s">
        <v>30</v>
      </c>
      <c r="D93" s="3" t="s">
        <v>21</v>
      </c>
      <c r="E93" s="3" t="s">
        <v>50</v>
      </c>
      <c r="F93" s="3" t="s">
        <v>23</v>
      </c>
      <c r="G93" s="3" t="s">
        <v>18</v>
      </c>
      <c r="H93" s="3">
        <v>3</v>
      </c>
      <c r="I93" s="5">
        <v>49</v>
      </c>
      <c r="J93" s="5">
        <f t="shared" si="6"/>
        <v>147</v>
      </c>
      <c r="K93" s="5">
        <v>33.33</v>
      </c>
      <c r="L93" s="5">
        <f t="shared" si="7"/>
        <v>47.010000000000005</v>
      </c>
      <c r="M93" s="6">
        <f t="shared" si="8"/>
        <v>0.319795918367347</v>
      </c>
    </row>
    <row r="94" spans="1:13">
      <c r="A94" s="3" t="s">
        <v>128</v>
      </c>
      <c r="B94" s="4">
        <v>46085</v>
      </c>
      <c r="C94" s="3" t="s">
        <v>38</v>
      </c>
      <c r="D94" s="3" t="s">
        <v>26</v>
      </c>
      <c r="E94" s="3" t="s">
        <v>50</v>
      </c>
      <c r="F94" s="3" t="s">
        <v>23</v>
      </c>
      <c r="G94" s="3" t="s">
        <v>18</v>
      </c>
      <c r="H94" s="3">
        <v>4</v>
      </c>
      <c r="I94" s="5">
        <v>399</v>
      </c>
      <c r="J94" s="5">
        <f t="shared" si="6"/>
        <v>1596</v>
      </c>
      <c r="K94" s="5">
        <v>250.78</v>
      </c>
      <c r="L94" s="5">
        <f t="shared" si="7"/>
        <v>592.88</v>
      </c>
      <c r="M94" s="6">
        <f t="shared" si="8"/>
        <v>0.37147869674185463</v>
      </c>
    </row>
    <row r="95" spans="1:13">
      <c r="A95" s="3" t="s">
        <v>129</v>
      </c>
      <c r="B95" s="4">
        <v>46089</v>
      </c>
      <c r="C95" s="3" t="s">
        <v>38</v>
      </c>
      <c r="D95" s="3" t="s">
        <v>15</v>
      </c>
      <c r="E95" s="3" t="s">
        <v>50</v>
      </c>
      <c r="F95" s="3" t="s">
        <v>23</v>
      </c>
      <c r="G95" s="3" t="s">
        <v>36</v>
      </c>
      <c r="H95" s="3">
        <v>8</v>
      </c>
      <c r="I95" s="5">
        <v>75</v>
      </c>
      <c r="J95" s="5">
        <f t="shared" si="6"/>
        <v>600</v>
      </c>
      <c r="K95" s="5">
        <v>61.36</v>
      </c>
      <c r="L95" s="5">
        <f t="shared" si="7"/>
        <v>109.12</v>
      </c>
      <c r="M95" s="6">
        <f t="shared" si="8"/>
        <v>0.18186666666666668</v>
      </c>
    </row>
    <row r="96" spans="1:13">
      <c r="A96" s="3" t="s">
        <v>130</v>
      </c>
      <c r="B96" s="4">
        <v>46093</v>
      </c>
      <c r="C96" s="3" t="s">
        <v>38</v>
      </c>
      <c r="D96" s="3" t="s">
        <v>39</v>
      </c>
      <c r="E96" s="3" t="s">
        <v>40</v>
      </c>
      <c r="F96" s="3" t="s">
        <v>17</v>
      </c>
      <c r="G96" s="3" t="s">
        <v>24</v>
      </c>
      <c r="H96" s="3">
        <v>8</v>
      </c>
      <c r="I96" s="5">
        <v>49</v>
      </c>
      <c r="J96" s="5">
        <f t="shared" si="6"/>
        <v>392</v>
      </c>
      <c r="K96" s="5">
        <v>30.78</v>
      </c>
      <c r="L96" s="5">
        <f t="shared" si="7"/>
        <v>145.76</v>
      </c>
      <c r="M96" s="6">
        <f t="shared" si="8"/>
        <v>0.37183673469387751</v>
      </c>
    </row>
    <row r="97" spans="1:13">
      <c r="A97" s="3" t="s">
        <v>131</v>
      </c>
      <c r="B97" s="4">
        <v>46032</v>
      </c>
      <c r="C97" s="3" t="s">
        <v>20</v>
      </c>
      <c r="D97" s="3" t="s">
        <v>39</v>
      </c>
      <c r="E97" s="3" t="s">
        <v>43</v>
      </c>
      <c r="F97" s="3" t="s">
        <v>28</v>
      </c>
      <c r="G97" s="3" t="s">
        <v>36</v>
      </c>
      <c r="H97" s="3">
        <v>4</v>
      </c>
      <c r="I97" s="5">
        <v>129</v>
      </c>
      <c r="J97" s="5">
        <f t="shared" si="6"/>
        <v>516</v>
      </c>
      <c r="K97" s="5">
        <v>73.55</v>
      </c>
      <c r="L97" s="5">
        <f t="shared" si="7"/>
        <v>221.8</v>
      </c>
      <c r="M97" s="6">
        <f t="shared" si="8"/>
        <v>0.42984496124031008</v>
      </c>
    </row>
    <row r="98" spans="1:13">
      <c r="A98" s="3" t="s">
        <v>132</v>
      </c>
      <c r="B98" s="4">
        <v>46034</v>
      </c>
      <c r="C98" s="3" t="s">
        <v>20</v>
      </c>
      <c r="D98" s="3" t="s">
        <v>21</v>
      </c>
      <c r="E98" s="3" t="s">
        <v>16</v>
      </c>
      <c r="F98" s="3" t="s">
        <v>17</v>
      </c>
      <c r="G98" s="3" t="s">
        <v>36</v>
      </c>
      <c r="H98" s="3">
        <v>6</v>
      </c>
      <c r="I98" s="5">
        <v>99</v>
      </c>
      <c r="J98" s="5">
        <f t="shared" ref="J98:J129" si="9">H98*I98</f>
        <v>594</v>
      </c>
      <c r="K98" s="5">
        <v>70.58</v>
      </c>
      <c r="L98" s="5">
        <f t="shared" ref="L98:L129" si="10">J98-(H98*K98)</f>
        <v>170.51999999999998</v>
      </c>
      <c r="M98" s="6">
        <f t="shared" ref="M98:M129" si="11">IFERROR(L98/J98,0)</f>
        <v>0.28707070707070703</v>
      </c>
    </row>
    <row r="99" spans="1:13">
      <c r="A99" s="3" t="s">
        <v>133</v>
      </c>
      <c r="B99" s="4">
        <v>46103</v>
      </c>
      <c r="C99" s="3" t="s">
        <v>38</v>
      </c>
      <c r="D99" s="3" t="s">
        <v>26</v>
      </c>
      <c r="E99" s="3" t="s">
        <v>50</v>
      </c>
      <c r="F99" s="3" t="s">
        <v>23</v>
      </c>
      <c r="G99" s="3" t="s">
        <v>18</v>
      </c>
      <c r="H99" s="3">
        <v>6</v>
      </c>
      <c r="I99" s="5">
        <v>129</v>
      </c>
      <c r="J99" s="5">
        <f t="shared" si="9"/>
        <v>774</v>
      </c>
      <c r="K99" s="5">
        <v>88.29</v>
      </c>
      <c r="L99" s="5">
        <f t="shared" si="10"/>
        <v>244.26</v>
      </c>
      <c r="M99" s="6">
        <f t="shared" si="11"/>
        <v>0.31558139534883722</v>
      </c>
    </row>
    <row r="100" spans="1:13">
      <c r="A100" s="3" t="s">
        <v>134</v>
      </c>
      <c r="B100" s="4">
        <v>46135</v>
      </c>
      <c r="C100" s="3" t="s">
        <v>30</v>
      </c>
      <c r="D100" s="3" t="s">
        <v>15</v>
      </c>
      <c r="E100" s="3" t="s">
        <v>43</v>
      </c>
      <c r="F100" s="3" t="s">
        <v>28</v>
      </c>
      <c r="G100" s="3" t="s">
        <v>24</v>
      </c>
      <c r="H100" s="3">
        <v>3</v>
      </c>
      <c r="I100" s="5">
        <v>49</v>
      </c>
      <c r="J100" s="5">
        <f t="shared" si="9"/>
        <v>147</v>
      </c>
      <c r="K100" s="5">
        <v>39.520000000000003</v>
      </c>
      <c r="L100" s="5">
        <f t="shared" si="10"/>
        <v>28.439999999999998</v>
      </c>
      <c r="M100" s="6">
        <f t="shared" si="11"/>
        <v>0.19346938775510203</v>
      </c>
    </row>
    <row r="101" spans="1:13">
      <c r="A101" s="3" t="s">
        <v>135</v>
      </c>
      <c r="B101" s="4">
        <v>46110</v>
      </c>
      <c r="C101" s="3" t="s">
        <v>38</v>
      </c>
      <c r="D101" s="3" t="s">
        <v>15</v>
      </c>
      <c r="E101" s="3" t="s">
        <v>43</v>
      </c>
      <c r="F101" s="3" t="s">
        <v>28</v>
      </c>
      <c r="G101" s="3" t="s">
        <v>36</v>
      </c>
      <c r="H101" s="3">
        <v>12</v>
      </c>
      <c r="I101" s="5">
        <v>99</v>
      </c>
      <c r="J101" s="5">
        <f t="shared" si="9"/>
        <v>1188</v>
      </c>
      <c r="K101" s="5">
        <v>65.569999999999993</v>
      </c>
      <c r="L101" s="5">
        <f t="shared" si="10"/>
        <v>401.16000000000008</v>
      </c>
      <c r="M101" s="6">
        <f t="shared" si="11"/>
        <v>0.33767676767676774</v>
      </c>
    </row>
    <row r="102" spans="1:13">
      <c r="A102" s="3" t="s">
        <v>136</v>
      </c>
      <c r="B102" s="4">
        <v>46071</v>
      </c>
      <c r="C102" s="3" t="s">
        <v>14</v>
      </c>
      <c r="D102" s="3" t="s">
        <v>26</v>
      </c>
      <c r="E102" s="3" t="s">
        <v>22</v>
      </c>
      <c r="F102" s="3" t="s">
        <v>23</v>
      </c>
      <c r="G102" s="3" t="s">
        <v>36</v>
      </c>
      <c r="H102" s="3">
        <v>1</v>
      </c>
      <c r="I102" s="5">
        <v>199</v>
      </c>
      <c r="J102" s="5">
        <f t="shared" si="9"/>
        <v>199</v>
      </c>
      <c r="K102" s="5">
        <v>149.79</v>
      </c>
      <c r="L102" s="5">
        <f t="shared" si="10"/>
        <v>49.210000000000008</v>
      </c>
      <c r="M102" s="6">
        <f t="shared" si="11"/>
        <v>0.24728643216080406</v>
      </c>
    </row>
    <row r="103" spans="1:13">
      <c r="A103" s="3" t="s">
        <v>137</v>
      </c>
      <c r="B103" s="4">
        <v>46130</v>
      </c>
      <c r="C103" s="3" t="s">
        <v>30</v>
      </c>
      <c r="D103" s="3" t="s">
        <v>26</v>
      </c>
      <c r="E103" s="3" t="s">
        <v>27</v>
      </c>
      <c r="F103" s="3" t="s">
        <v>28</v>
      </c>
      <c r="G103" s="3" t="s">
        <v>24</v>
      </c>
      <c r="H103" s="3">
        <v>12</v>
      </c>
      <c r="I103" s="5">
        <v>49</v>
      </c>
      <c r="J103" s="5">
        <f t="shared" si="9"/>
        <v>588</v>
      </c>
      <c r="K103" s="5">
        <v>38.880000000000003</v>
      </c>
      <c r="L103" s="5">
        <f t="shared" si="10"/>
        <v>121.43999999999994</v>
      </c>
      <c r="M103" s="6">
        <f t="shared" si="11"/>
        <v>0.20653061224489785</v>
      </c>
    </row>
    <row r="104" spans="1:13">
      <c r="A104" s="3" t="s">
        <v>138</v>
      </c>
      <c r="B104" s="4">
        <v>46060</v>
      </c>
      <c r="C104" s="3" t="s">
        <v>14</v>
      </c>
      <c r="D104" s="3" t="s">
        <v>39</v>
      </c>
      <c r="E104" s="3" t="s">
        <v>50</v>
      </c>
      <c r="F104" s="3" t="s">
        <v>23</v>
      </c>
      <c r="G104" s="3" t="s">
        <v>24</v>
      </c>
      <c r="H104" s="3">
        <v>7</v>
      </c>
      <c r="I104" s="5">
        <v>249</v>
      </c>
      <c r="J104" s="5">
        <f t="shared" si="9"/>
        <v>1743</v>
      </c>
      <c r="K104" s="5">
        <v>204.1</v>
      </c>
      <c r="L104" s="5">
        <f t="shared" si="10"/>
        <v>314.29999999999995</v>
      </c>
      <c r="M104" s="6">
        <f t="shared" si="11"/>
        <v>0.18032128514056223</v>
      </c>
    </row>
    <row r="105" spans="1:13">
      <c r="A105" s="3" t="s">
        <v>139</v>
      </c>
      <c r="B105" s="4">
        <v>46098</v>
      </c>
      <c r="C105" s="3" t="s">
        <v>38</v>
      </c>
      <c r="D105" s="3" t="s">
        <v>39</v>
      </c>
      <c r="E105" s="3" t="s">
        <v>32</v>
      </c>
      <c r="F105" s="3" t="s">
        <v>17</v>
      </c>
      <c r="G105" s="3" t="s">
        <v>36</v>
      </c>
      <c r="H105" s="3">
        <v>5</v>
      </c>
      <c r="I105" s="5">
        <v>49</v>
      </c>
      <c r="J105" s="5">
        <f t="shared" si="9"/>
        <v>245</v>
      </c>
      <c r="K105" s="5">
        <v>30.66</v>
      </c>
      <c r="L105" s="5">
        <f t="shared" si="10"/>
        <v>91.699999999999989</v>
      </c>
      <c r="M105" s="6">
        <f t="shared" si="11"/>
        <v>0.37428571428571422</v>
      </c>
    </row>
    <row r="106" spans="1:13">
      <c r="A106" s="3" t="s">
        <v>140</v>
      </c>
      <c r="B106" s="4">
        <v>46029</v>
      </c>
      <c r="C106" s="3" t="s">
        <v>20</v>
      </c>
      <c r="D106" s="3" t="s">
        <v>31</v>
      </c>
      <c r="E106" s="3" t="s">
        <v>50</v>
      </c>
      <c r="F106" s="3" t="s">
        <v>23</v>
      </c>
      <c r="G106" s="3" t="s">
        <v>24</v>
      </c>
      <c r="H106" s="3">
        <v>5</v>
      </c>
      <c r="I106" s="5">
        <v>249</v>
      </c>
      <c r="J106" s="5">
        <f t="shared" si="9"/>
        <v>1245</v>
      </c>
      <c r="K106" s="5">
        <v>171.3</v>
      </c>
      <c r="L106" s="5">
        <f t="shared" si="10"/>
        <v>388.5</v>
      </c>
      <c r="M106" s="6">
        <f t="shared" si="11"/>
        <v>0.31204819277108437</v>
      </c>
    </row>
    <row r="107" spans="1:13">
      <c r="A107" s="3" t="s">
        <v>141</v>
      </c>
      <c r="B107" s="4">
        <v>46047</v>
      </c>
      <c r="C107" s="3" t="s">
        <v>20</v>
      </c>
      <c r="D107" s="3" t="s">
        <v>15</v>
      </c>
      <c r="E107" s="3" t="s">
        <v>22</v>
      </c>
      <c r="F107" s="3" t="s">
        <v>23</v>
      </c>
      <c r="G107" s="3" t="s">
        <v>24</v>
      </c>
      <c r="H107" s="3">
        <v>11</v>
      </c>
      <c r="I107" s="5">
        <v>249</v>
      </c>
      <c r="J107" s="5">
        <f t="shared" si="9"/>
        <v>2739</v>
      </c>
      <c r="K107" s="5">
        <v>198.36</v>
      </c>
      <c r="L107" s="5">
        <f t="shared" si="10"/>
        <v>557.04</v>
      </c>
      <c r="M107" s="6">
        <f t="shared" si="11"/>
        <v>0.2033734939759036</v>
      </c>
    </row>
    <row r="108" spans="1:13">
      <c r="A108" s="3" t="s">
        <v>142</v>
      </c>
      <c r="B108" s="4">
        <v>46093</v>
      </c>
      <c r="C108" s="3" t="s">
        <v>38</v>
      </c>
      <c r="D108" s="3" t="s">
        <v>26</v>
      </c>
      <c r="E108" s="3" t="s">
        <v>40</v>
      </c>
      <c r="F108" s="3" t="s">
        <v>17</v>
      </c>
      <c r="G108" s="3" t="s">
        <v>24</v>
      </c>
      <c r="H108" s="3">
        <v>12</v>
      </c>
      <c r="I108" s="5">
        <v>249</v>
      </c>
      <c r="J108" s="5">
        <f t="shared" si="9"/>
        <v>2988</v>
      </c>
      <c r="K108" s="5">
        <v>167.26</v>
      </c>
      <c r="L108" s="5">
        <f t="shared" si="10"/>
        <v>980.88000000000011</v>
      </c>
      <c r="M108" s="6">
        <f t="shared" si="11"/>
        <v>0.32827309236947794</v>
      </c>
    </row>
    <row r="109" spans="1:13">
      <c r="A109" s="3" t="s">
        <v>143</v>
      </c>
      <c r="B109" s="4">
        <v>46119</v>
      </c>
      <c r="C109" s="3" t="s">
        <v>30</v>
      </c>
      <c r="D109" s="3" t="s">
        <v>39</v>
      </c>
      <c r="E109" s="3" t="s">
        <v>16</v>
      </c>
      <c r="F109" s="3" t="s">
        <v>17</v>
      </c>
      <c r="G109" s="3" t="s">
        <v>36</v>
      </c>
      <c r="H109" s="3">
        <v>1</v>
      </c>
      <c r="I109" s="5">
        <v>599</v>
      </c>
      <c r="J109" s="5">
        <f t="shared" si="9"/>
        <v>599</v>
      </c>
      <c r="K109" s="5">
        <v>350.04</v>
      </c>
      <c r="L109" s="5">
        <f t="shared" si="10"/>
        <v>248.95999999999998</v>
      </c>
      <c r="M109" s="6">
        <f t="shared" si="11"/>
        <v>0.4156260434056761</v>
      </c>
    </row>
    <row r="110" spans="1:13">
      <c r="A110" s="3" t="s">
        <v>144</v>
      </c>
      <c r="B110" s="4">
        <v>46083</v>
      </c>
      <c r="C110" s="3" t="s">
        <v>38</v>
      </c>
      <c r="D110" s="3" t="s">
        <v>39</v>
      </c>
      <c r="E110" s="3" t="s">
        <v>27</v>
      </c>
      <c r="F110" s="3" t="s">
        <v>28</v>
      </c>
      <c r="G110" s="3" t="s">
        <v>36</v>
      </c>
      <c r="H110" s="3">
        <v>5</v>
      </c>
      <c r="I110" s="5">
        <v>149</v>
      </c>
      <c r="J110" s="5">
        <f t="shared" si="9"/>
        <v>745</v>
      </c>
      <c r="K110" s="5">
        <v>111.68</v>
      </c>
      <c r="L110" s="5">
        <f t="shared" si="10"/>
        <v>186.59999999999991</v>
      </c>
      <c r="M110" s="6">
        <f t="shared" si="11"/>
        <v>0.25046979865771801</v>
      </c>
    </row>
    <row r="111" spans="1:13">
      <c r="A111" s="3" t="s">
        <v>145</v>
      </c>
      <c r="B111" s="4">
        <v>46106</v>
      </c>
      <c r="C111" s="3" t="s">
        <v>38</v>
      </c>
      <c r="D111" s="3" t="s">
        <v>15</v>
      </c>
      <c r="E111" s="3" t="s">
        <v>50</v>
      </c>
      <c r="F111" s="3" t="s">
        <v>23</v>
      </c>
      <c r="G111" s="3" t="s">
        <v>18</v>
      </c>
      <c r="H111" s="3">
        <v>4</v>
      </c>
      <c r="I111" s="5">
        <v>149</v>
      </c>
      <c r="J111" s="5">
        <f t="shared" si="9"/>
        <v>596</v>
      </c>
      <c r="K111" s="5">
        <v>101.39</v>
      </c>
      <c r="L111" s="5">
        <f t="shared" si="10"/>
        <v>190.44</v>
      </c>
      <c r="M111" s="6">
        <f t="shared" si="11"/>
        <v>0.31953020134228188</v>
      </c>
    </row>
    <row r="112" spans="1:13">
      <c r="A112" s="3" t="s">
        <v>146</v>
      </c>
      <c r="B112" s="4">
        <v>46108</v>
      </c>
      <c r="C112" s="3" t="s">
        <v>38</v>
      </c>
      <c r="D112" s="3" t="s">
        <v>26</v>
      </c>
      <c r="E112" s="3" t="s">
        <v>27</v>
      </c>
      <c r="F112" s="3" t="s">
        <v>28</v>
      </c>
      <c r="G112" s="3" t="s">
        <v>24</v>
      </c>
      <c r="H112" s="3">
        <v>11</v>
      </c>
      <c r="I112" s="5">
        <v>99</v>
      </c>
      <c r="J112" s="5">
        <f t="shared" si="9"/>
        <v>1089</v>
      </c>
      <c r="K112" s="5">
        <v>56.46</v>
      </c>
      <c r="L112" s="5">
        <f t="shared" si="10"/>
        <v>467.93999999999994</v>
      </c>
      <c r="M112" s="6">
        <f t="shared" si="11"/>
        <v>0.42969696969696963</v>
      </c>
    </row>
    <row r="113" spans="1:13">
      <c r="A113" s="3" t="s">
        <v>147</v>
      </c>
      <c r="B113" s="4">
        <v>46087</v>
      </c>
      <c r="C113" s="3" t="s">
        <v>38</v>
      </c>
      <c r="D113" s="3" t="s">
        <v>21</v>
      </c>
      <c r="E113" s="3" t="s">
        <v>43</v>
      </c>
      <c r="F113" s="3" t="s">
        <v>28</v>
      </c>
      <c r="G113" s="3" t="s">
        <v>24</v>
      </c>
      <c r="H113" s="3">
        <v>8</v>
      </c>
      <c r="I113" s="5">
        <v>199</v>
      </c>
      <c r="J113" s="5">
        <f t="shared" si="9"/>
        <v>1592</v>
      </c>
      <c r="K113" s="5">
        <v>162.99</v>
      </c>
      <c r="L113" s="5">
        <f t="shared" si="10"/>
        <v>288.07999999999993</v>
      </c>
      <c r="M113" s="6">
        <f t="shared" si="11"/>
        <v>0.18095477386934669</v>
      </c>
    </row>
    <row r="114" spans="1:13">
      <c r="A114" s="3" t="s">
        <v>148</v>
      </c>
      <c r="B114" s="4">
        <v>46080</v>
      </c>
      <c r="C114" s="3" t="s">
        <v>14</v>
      </c>
      <c r="D114" s="3" t="s">
        <v>31</v>
      </c>
      <c r="E114" s="3" t="s">
        <v>27</v>
      </c>
      <c r="F114" s="3" t="s">
        <v>28</v>
      </c>
      <c r="G114" s="3" t="s">
        <v>18</v>
      </c>
      <c r="H114" s="3">
        <v>4</v>
      </c>
      <c r="I114" s="5">
        <v>129</v>
      </c>
      <c r="J114" s="5">
        <f t="shared" si="9"/>
        <v>516</v>
      </c>
      <c r="K114" s="5">
        <v>74.11</v>
      </c>
      <c r="L114" s="5">
        <f t="shared" si="10"/>
        <v>219.56</v>
      </c>
      <c r="M114" s="6">
        <f t="shared" si="11"/>
        <v>0.42550387596899225</v>
      </c>
    </row>
    <row r="115" spans="1:13">
      <c r="A115" s="3" t="s">
        <v>149</v>
      </c>
      <c r="B115" s="4">
        <v>46066</v>
      </c>
      <c r="C115" s="3" t="s">
        <v>14</v>
      </c>
      <c r="D115" s="3" t="s">
        <v>39</v>
      </c>
      <c r="E115" s="3" t="s">
        <v>32</v>
      </c>
      <c r="F115" s="3" t="s">
        <v>17</v>
      </c>
      <c r="G115" s="3" t="s">
        <v>24</v>
      </c>
      <c r="H115" s="3">
        <v>6</v>
      </c>
      <c r="I115" s="5">
        <v>149</v>
      </c>
      <c r="J115" s="5">
        <f t="shared" si="9"/>
        <v>894</v>
      </c>
      <c r="K115" s="5">
        <v>114.51</v>
      </c>
      <c r="L115" s="5">
        <f t="shared" si="10"/>
        <v>206.93999999999994</v>
      </c>
      <c r="M115" s="6">
        <f t="shared" si="11"/>
        <v>0.23147651006711403</v>
      </c>
    </row>
    <row r="116" spans="1:13">
      <c r="A116" s="3" t="s">
        <v>150</v>
      </c>
      <c r="B116" s="4">
        <v>46048</v>
      </c>
      <c r="C116" s="3" t="s">
        <v>20</v>
      </c>
      <c r="D116" s="3" t="s">
        <v>15</v>
      </c>
      <c r="E116" s="3" t="s">
        <v>34</v>
      </c>
      <c r="F116" s="3" t="s">
        <v>17</v>
      </c>
      <c r="G116" s="3" t="s">
        <v>36</v>
      </c>
      <c r="H116" s="3">
        <v>7</v>
      </c>
      <c r="I116" s="5">
        <v>599</v>
      </c>
      <c r="J116" s="5">
        <f t="shared" si="9"/>
        <v>4193</v>
      </c>
      <c r="K116" s="5">
        <v>363.41</v>
      </c>
      <c r="L116" s="5">
        <f t="shared" si="10"/>
        <v>1649.1299999999997</v>
      </c>
      <c r="M116" s="6">
        <f t="shared" si="11"/>
        <v>0.39330550918196988</v>
      </c>
    </row>
    <row r="117" spans="1:13">
      <c r="A117" s="3" t="s">
        <v>151</v>
      </c>
      <c r="B117" s="4">
        <v>46057</v>
      </c>
      <c r="C117" s="3" t="s">
        <v>14</v>
      </c>
      <c r="D117" s="3" t="s">
        <v>26</v>
      </c>
      <c r="E117" s="3" t="s">
        <v>22</v>
      </c>
      <c r="F117" s="3" t="s">
        <v>23</v>
      </c>
      <c r="G117" s="3" t="s">
        <v>36</v>
      </c>
      <c r="H117" s="3">
        <v>5</v>
      </c>
      <c r="I117" s="5">
        <v>199</v>
      </c>
      <c r="J117" s="5">
        <f t="shared" si="9"/>
        <v>995</v>
      </c>
      <c r="K117" s="5">
        <v>116.21</v>
      </c>
      <c r="L117" s="5">
        <f t="shared" si="10"/>
        <v>413.95000000000005</v>
      </c>
      <c r="M117" s="6">
        <f t="shared" si="11"/>
        <v>0.41603015075376887</v>
      </c>
    </row>
    <row r="118" spans="1:13">
      <c r="A118" s="3" t="s">
        <v>152</v>
      </c>
      <c r="B118" s="4">
        <v>46087</v>
      </c>
      <c r="C118" s="3" t="s">
        <v>38</v>
      </c>
      <c r="D118" s="3" t="s">
        <v>26</v>
      </c>
      <c r="E118" s="3" t="s">
        <v>40</v>
      </c>
      <c r="F118" s="3" t="s">
        <v>17</v>
      </c>
      <c r="G118" s="3" t="s">
        <v>36</v>
      </c>
      <c r="H118" s="3">
        <v>4</v>
      </c>
      <c r="I118" s="5">
        <v>249</v>
      </c>
      <c r="J118" s="5">
        <f t="shared" si="9"/>
        <v>996</v>
      </c>
      <c r="K118" s="5">
        <v>163.83000000000001</v>
      </c>
      <c r="L118" s="5">
        <f t="shared" si="10"/>
        <v>340.67999999999995</v>
      </c>
      <c r="M118" s="6">
        <f t="shared" si="11"/>
        <v>0.34204819277108428</v>
      </c>
    </row>
    <row r="119" spans="1:13">
      <c r="A119" s="3" t="s">
        <v>153</v>
      </c>
      <c r="B119" s="4">
        <v>46080</v>
      </c>
      <c r="C119" s="3" t="s">
        <v>14</v>
      </c>
      <c r="D119" s="3" t="s">
        <v>39</v>
      </c>
      <c r="E119" s="3" t="s">
        <v>27</v>
      </c>
      <c r="F119" s="3" t="s">
        <v>28</v>
      </c>
      <c r="G119" s="3" t="s">
        <v>24</v>
      </c>
      <c r="H119" s="3">
        <v>3</v>
      </c>
      <c r="I119" s="5">
        <v>49</v>
      </c>
      <c r="J119" s="5">
        <f t="shared" si="9"/>
        <v>147</v>
      </c>
      <c r="K119" s="5">
        <v>32.58</v>
      </c>
      <c r="L119" s="5">
        <f t="shared" si="10"/>
        <v>49.260000000000005</v>
      </c>
      <c r="M119" s="6">
        <f t="shared" si="11"/>
        <v>0.33510204081632655</v>
      </c>
    </row>
    <row r="120" spans="1:13">
      <c r="A120" s="3" t="s">
        <v>154</v>
      </c>
      <c r="B120" s="4">
        <v>46120</v>
      </c>
      <c r="C120" s="3" t="s">
        <v>30</v>
      </c>
      <c r="D120" s="3" t="s">
        <v>21</v>
      </c>
      <c r="E120" s="3" t="s">
        <v>43</v>
      </c>
      <c r="F120" s="3" t="s">
        <v>28</v>
      </c>
      <c r="G120" s="3" t="s">
        <v>36</v>
      </c>
      <c r="H120" s="3">
        <v>1</v>
      </c>
      <c r="I120" s="5">
        <v>75</v>
      </c>
      <c r="J120" s="5">
        <f t="shared" si="9"/>
        <v>75</v>
      </c>
      <c r="K120" s="5">
        <v>49.18</v>
      </c>
      <c r="L120" s="5">
        <f t="shared" si="10"/>
        <v>25.82</v>
      </c>
      <c r="M120" s="6">
        <f t="shared" si="11"/>
        <v>0.34426666666666667</v>
      </c>
    </row>
    <row r="121" spans="1:13">
      <c r="A121" s="3" t="s">
        <v>155</v>
      </c>
      <c r="B121" s="4">
        <v>46141</v>
      </c>
      <c r="C121" s="3" t="s">
        <v>30</v>
      </c>
      <c r="D121" s="3" t="s">
        <v>15</v>
      </c>
      <c r="E121" s="3" t="s">
        <v>43</v>
      </c>
      <c r="F121" s="3" t="s">
        <v>28</v>
      </c>
      <c r="G121" s="3" t="s">
        <v>24</v>
      </c>
      <c r="H121" s="3">
        <v>2</v>
      </c>
      <c r="I121" s="5">
        <v>129</v>
      </c>
      <c r="J121" s="5">
        <f t="shared" si="9"/>
        <v>258</v>
      </c>
      <c r="K121" s="5">
        <v>76.33</v>
      </c>
      <c r="L121" s="5">
        <f t="shared" si="10"/>
        <v>105.34</v>
      </c>
      <c r="M121" s="6">
        <f t="shared" si="11"/>
        <v>0.40829457364341087</v>
      </c>
    </row>
    <row r="122" spans="1:13">
      <c r="A122" s="3" t="s">
        <v>156</v>
      </c>
      <c r="B122" s="4">
        <v>46089</v>
      </c>
      <c r="C122" s="3" t="s">
        <v>38</v>
      </c>
      <c r="D122" s="3" t="s">
        <v>15</v>
      </c>
      <c r="E122" s="3" t="s">
        <v>32</v>
      </c>
      <c r="F122" s="3" t="s">
        <v>17</v>
      </c>
      <c r="G122" s="3" t="s">
        <v>24</v>
      </c>
      <c r="H122" s="3">
        <v>9</v>
      </c>
      <c r="I122" s="5">
        <v>49</v>
      </c>
      <c r="J122" s="5">
        <f t="shared" si="9"/>
        <v>441</v>
      </c>
      <c r="K122" s="5">
        <v>26.97</v>
      </c>
      <c r="L122" s="5">
        <f t="shared" si="10"/>
        <v>198.27</v>
      </c>
      <c r="M122" s="6">
        <f t="shared" si="11"/>
        <v>0.44959183673469388</v>
      </c>
    </row>
    <row r="123" spans="1:13">
      <c r="A123" s="3" t="s">
        <v>157</v>
      </c>
      <c r="B123" s="4">
        <v>46039</v>
      </c>
      <c r="C123" s="3" t="s">
        <v>20</v>
      </c>
      <c r="D123" s="3" t="s">
        <v>21</v>
      </c>
      <c r="E123" s="3" t="s">
        <v>40</v>
      </c>
      <c r="F123" s="3" t="s">
        <v>17</v>
      </c>
      <c r="G123" s="3" t="s">
        <v>24</v>
      </c>
      <c r="H123" s="3">
        <v>11</v>
      </c>
      <c r="I123" s="5">
        <v>149</v>
      </c>
      <c r="J123" s="5">
        <f t="shared" si="9"/>
        <v>1639</v>
      </c>
      <c r="K123" s="5">
        <v>120.67</v>
      </c>
      <c r="L123" s="5">
        <f t="shared" si="10"/>
        <v>311.62999999999988</v>
      </c>
      <c r="M123" s="6">
        <f t="shared" si="11"/>
        <v>0.19013422818791939</v>
      </c>
    </row>
    <row r="124" spans="1:13">
      <c r="A124" s="3" t="s">
        <v>158</v>
      </c>
      <c r="B124" s="4">
        <v>46103</v>
      </c>
      <c r="C124" s="3" t="s">
        <v>38</v>
      </c>
      <c r="D124" s="3" t="s">
        <v>21</v>
      </c>
      <c r="E124" s="3" t="s">
        <v>50</v>
      </c>
      <c r="F124" s="3" t="s">
        <v>23</v>
      </c>
      <c r="G124" s="3" t="s">
        <v>18</v>
      </c>
      <c r="H124" s="3">
        <v>7</v>
      </c>
      <c r="I124" s="5">
        <v>75</v>
      </c>
      <c r="J124" s="5">
        <f t="shared" si="9"/>
        <v>525</v>
      </c>
      <c r="K124" s="5">
        <v>43.26</v>
      </c>
      <c r="L124" s="5">
        <f t="shared" si="10"/>
        <v>222.18</v>
      </c>
      <c r="M124" s="6">
        <f t="shared" si="11"/>
        <v>0.42320000000000002</v>
      </c>
    </row>
    <row r="125" spans="1:13">
      <c r="A125" s="3" t="s">
        <v>159</v>
      </c>
      <c r="B125" s="4">
        <v>46061</v>
      </c>
      <c r="C125" s="3" t="s">
        <v>14</v>
      </c>
      <c r="D125" s="3" t="s">
        <v>15</v>
      </c>
      <c r="E125" s="3" t="s">
        <v>40</v>
      </c>
      <c r="F125" s="3" t="s">
        <v>17</v>
      </c>
      <c r="G125" s="3" t="s">
        <v>36</v>
      </c>
      <c r="H125" s="3">
        <v>4</v>
      </c>
      <c r="I125" s="5">
        <v>49</v>
      </c>
      <c r="J125" s="5">
        <f t="shared" si="9"/>
        <v>196</v>
      </c>
      <c r="K125" s="5">
        <v>27.09</v>
      </c>
      <c r="L125" s="5">
        <f t="shared" si="10"/>
        <v>87.64</v>
      </c>
      <c r="M125" s="6">
        <f t="shared" si="11"/>
        <v>0.44714285714285712</v>
      </c>
    </row>
    <row r="126" spans="1:13">
      <c r="A126" s="3" t="s">
        <v>160</v>
      </c>
      <c r="B126" s="4">
        <v>46061</v>
      </c>
      <c r="C126" s="3" t="s">
        <v>14</v>
      </c>
      <c r="D126" s="3" t="s">
        <v>39</v>
      </c>
      <c r="E126" s="3" t="s">
        <v>43</v>
      </c>
      <c r="F126" s="3" t="s">
        <v>28</v>
      </c>
      <c r="G126" s="3" t="s">
        <v>36</v>
      </c>
      <c r="H126" s="3">
        <v>11</v>
      </c>
      <c r="I126" s="5">
        <v>129</v>
      </c>
      <c r="J126" s="5">
        <f t="shared" si="9"/>
        <v>1419</v>
      </c>
      <c r="K126" s="5">
        <v>87.5</v>
      </c>
      <c r="L126" s="5">
        <f t="shared" si="10"/>
        <v>456.5</v>
      </c>
      <c r="M126" s="6">
        <f t="shared" si="11"/>
        <v>0.32170542635658916</v>
      </c>
    </row>
    <row r="127" spans="1:13">
      <c r="A127" s="3" t="s">
        <v>161</v>
      </c>
      <c r="B127" s="4">
        <v>46053</v>
      </c>
      <c r="C127" s="3" t="s">
        <v>20</v>
      </c>
      <c r="D127" s="3" t="s">
        <v>26</v>
      </c>
      <c r="E127" s="3" t="s">
        <v>40</v>
      </c>
      <c r="F127" s="3" t="s">
        <v>17</v>
      </c>
      <c r="G127" s="3" t="s">
        <v>36</v>
      </c>
      <c r="H127" s="3">
        <v>12</v>
      </c>
      <c r="I127" s="5">
        <v>149</v>
      </c>
      <c r="J127" s="5">
        <f t="shared" si="9"/>
        <v>1788</v>
      </c>
      <c r="K127" s="5">
        <v>84.18</v>
      </c>
      <c r="L127" s="5">
        <f t="shared" si="10"/>
        <v>777.83999999999992</v>
      </c>
      <c r="M127" s="6">
        <f t="shared" si="11"/>
        <v>0.43503355704697982</v>
      </c>
    </row>
    <row r="128" spans="1:13">
      <c r="A128" s="3" t="s">
        <v>162</v>
      </c>
      <c r="B128" s="4">
        <v>46047</v>
      </c>
      <c r="C128" s="3" t="s">
        <v>20</v>
      </c>
      <c r="D128" s="3" t="s">
        <v>15</v>
      </c>
      <c r="E128" s="3" t="s">
        <v>43</v>
      </c>
      <c r="F128" s="3" t="s">
        <v>28</v>
      </c>
      <c r="G128" s="3" t="s">
        <v>24</v>
      </c>
      <c r="H128" s="3">
        <v>5</v>
      </c>
      <c r="I128" s="5">
        <v>129</v>
      </c>
      <c r="J128" s="5">
        <f t="shared" si="9"/>
        <v>645</v>
      </c>
      <c r="K128" s="5">
        <v>94.19</v>
      </c>
      <c r="L128" s="5">
        <f t="shared" si="10"/>
        <v>174.05</v>
      </c>
      <c r="M128" s="6">
        <f t="shared" si="11"/>
        <v>0.2698449612403101</v>
      </c>
    </row>
    <row r="129" spans="1:13">
      <c r="A129" s="3" t="s">
        <v>163</v>
      </c>
      <c r="B129" s="4">
        <v>46141</v>
      </c>
      <c r="C129" s="3" t="s">
        <v>30</v>
      </c>
      <c r="D129" s="3" t="s">
        <v>31</v>
      </c>
      <c r="E129" s="3" t="s">
        <v>22</v>
      </c>
      <c r="F129" s="3" t="s">
        <v>23</v>
      </c>
      <c r="G129" s="3" t="s">
        <v>36</v>
      </c>
      <c r="H129" s="3">
        <v>1</v>
      </c>
      <c r="I129" s="5">
        <v>199</v>
      </c>
      <c r="J129" s="5">
        <f t="shared" si="9"/>
        <v>199</v>
      </c>
      <c r="K129" s="5">
        <v>148.05000000000001</v>
      </c>
      <c r="L129" s="5">
        <f t="shared" si="10"/>
        <v>50.949999999999989</v>
      </c>
      <c r="M129" s="6">
        <f t="shared" si="11"/>
        <v>0.25603015075376878</v>
      </c>
    </row>
    <row r="130" spans="1:13">
      <c r="A130" s="3" t="s">
        <v>164</v>
      </c>
      <c r="B130" s="4">
        <v>46069</v>
      </c>
      <c r="C130" s="3" t="s">
        <v>14</v>
      </c>
      <c r="D130" s="3" t="s">
        <v>31</v>
      </c>
      <c r="E130" s="3" t="s">
        <v>27</v>
      </c>
      <c r="F130" s="3" t="s">
        <v>28</v>
      </c>
      <c r="G130" s="3" t="s">
        <v>24</v>
      </c>
      <c r="H130" s="3">
        <v>5</v>
      </c>
      <c r="I130" s="5">
        <v>599</v>
      </c>
      <c r="J130" s="5">
        <f t="shared" ref="J130:J151" si="12">H130*I130</f>
        <v>2995</v>
      </c>
      <c r="K130" s="5">
        <v>340.36</v>
      </c>
      <c r="L130" s="5">
        <f t="shared" ref="L130:L151" si="13">J130-(H130*K130)</f>
        <v>1293.1999999999998</v>
      </c>
      <c r="M130" s="6">
        <f t="shared" ref="M130:M151" si="14">IFERROR(L130/J130,0)</f>
        <v>0.43178631051752914</v>
      </c>
    </row>
    <row r="131" spans="1:13">
      <c r="A131" s="3" t="s">
        <v>165</v>
      </c>
      <c r="B131" s="4">
        <v>46086</v>
      </c>
      <c r="C131" s="3" t="s">
        <v>38</v>
      </c>
      <c r="D131" s="3" t="s">
        <v>39</v>
      </c>
      <c r="E131" s="3" t="s">
        <v>40</v>
      </c>
      <c r="F131" s="3" t="s">
        <v>17</v>
      </c>
      <c r="G131" s="3" t="s">
        <v>24</v>
      </c>
      <c r="H131" s="3">
        <v>4</v>
      </c>
      <c r="I131" s="5">
        <v>399</v>
      </c>
      <c r="J131" s="5">
        <f t="shared" si="12"/>
        <v>1596</v>
      </c>
      <c r="K131" s="5">
        <v>243.31</v>
      </c>
      <c r="L131" s="5">
        <f t="shared" si="13"/>
        <v>622.76</v>
      </c>
      <c r="M131" s="6">
        <f t="shared" si="14"/>
        <v>0.39020050125313283</v>
      </c>
    </row>
    <row r="132" spans="1:13">
      <c r="A132" s="3" t="s">
        <v>166</v>
      </c>
      <c r="B132" s="4">
        <v>46120</v>
      </c>
      <c r="C132" s="3" t="s">
        <v>30</v>
      </c>
      <c r="D132" s="3" t="s">
        <v>26</v>
      </c>
      <c r="E132" s="3" t="s">
        <v>50</v>
      </c>
      <c r="F132" s="3" t="s">
        <v>23</v>
      </c>
      <c r="G132" s="3" t="s">
        <v>18</v>
      </c>
      <c r="H132" s="3">
        <v>8</v>
      </c>
      <c r="I132" s="5">
        <v>99</v>
      </c>
      <c r="J132" s="5">
        <f t="shared" si="12"/>
        <v>792</v>
      </c>
      <c r="K132" s="5">
        <v>78.41</v>
      </c>
      <c r="L132" s="5">
        <f t="shared" si="13"/>
        <v>164.72000000000003</v>
      </c>
      <c r="M132" s="6">
        <f t="shared" si="14"/>
        <v>0.20797979797979801</v>
      </c>
    </row>
    <row r="133" spans="1:13">
      <c r="A133" s="3" t="s">
        <v>167</v>
      </c>
      <c r="B133" s="4">
        <v>46085</v>
      </c>
      <c r="C133" s="3" t="s">
        <v>38</v>
      </c>
      <c r="D133" s="3" t="s">
        <v>26</v>
      </c>
      <c r="E133" s="3" t="s">
        <v>27</v>
      </c>
      <c r="F133" s="3" t="s">
        <v>28</v>
      </c>
      <c r="G133" s="3" t="s">
        <v>18</v>
      </c>
      <c r="H133" s="3">
        <v>3</v>
      </c>
      <c r="I133" s="5">
        <v>249</v>
      </c>
      <c r="J133" s="5">
        <f t="shared" si="12"/>
        <v>747</v>
      </c>
      <c r="K133" s="5">
        <v>140.6</v>
      </c>
      <c r="L133" s="5">
        <f t="shared" si="13"/>
        <v>325.20000000000005</v>
      </c>
      <c r="M133" s="6">
        <f t="shared" si="14"/>
        <v>0.43534136546184743</v>
      </c>
    </row>
    <row r="134" spans="1:13">
      <c r="A134" s="3" t="s">
        <v>168</v>
      </c>
      <c r="B134" s="4">
        <v>46026</v>
      </c>
      <c r="C134" s="3" t="s">
        <v>20</v>
      </c>
      <c r="D134" s="3" t="s">
        <v>15</v>
      </c>
      <c r="E134" s="3" t="s">
        <v>16</v>
      </c>
      <c r="F134" s="3" t="s">
        <v>17</v>
      </c>
      <c r="G134" s="3" t="s">
        <v>24</v>
      </c>
      <c r="H134" s="3">
        <v>12</v>
      </c>
      <c r="I134" s="5">
        <v>49</v>
      </c>
      <c r="J134" s="5">
        <f t="shared" si="12"/>
        <v>588</v>
      </c>
      <c r="K134" s="5">
        <v>29.39</v>
      </c>
      <c r="L134" s="5">
        <f t="shared" si="13"/>
        <v>235.32</v>
      </c>
      <c r="M134" s="6">
        <f t="shared" si="14"/>
        <v>0.40020408163265303</v>
      </c>
    </row>
    <row r="135" spans="1:13">
      <c r="A135" s="3" t="s">
        <v>169</v>
      </c>
      <c r="B135" s="4">
        <v>46080</v>
      </c>
      <c r="C135" s="3" t="s">
        <v>14</v>
      </c>
      <c r="D135" s="3" t="s">
        <v>26</v>
      </c>
      <c r="E135" s="3" t="s">
        <v>22</v>
      </c>
      <c r="F135" s="3" t="s">
        <v>23</v>
      </c>
      <c r="G135" s="3" t="s">
        <v>24</v>
      </c>
      <c r="H135" s="3">
        <v>3</v>
      </c>
      <c r="I135" s="5">
        <v>199</v>
      </c>
      <c r="J135" s="5">
        <f t="shared" si="12"/>
        <v>597</v>
      </c>
      <c r="K135" s="5">
        <v>119.7</v>
      </c>
      <c r="L135" s="5">
        <f t="shared" si="13"/>
        <v>237.89999999999998</v>
      </c>
      <c r="M135" s="6">
        <f t="shared" si="14"/>
        <v>0.39849246231155777</v>
      </c>
    </row>
    <row r="136" spans="1:13">
      <c r="A136" s="3" t="s">
        <v>170</v>
      </c>
      <c r="B136" s="4">
        <v>46106</v>
      </c>
      <c r="C136" s="3" t="s">
        <v>38</v>
      </c>
      <c r="D136" s="3" t="s">
        <v>26</v>
      </c>
      <c r="E136" s="3" t="s">
        <v>43</v>
      </c>
      <c r="F136" s="3" t="s">
        <v>28</v>
      </c>
      <c r="G136" s="3" t="s">
        <v>36</v>
      </c>
      <c r="H136" s="3">
        <v>11</v>
      </c>
      <c r="I136" s="5">
        <v>249</v>
      </c>
      <c r="J136" s="5">
        <f t="shared" si="12"/>
        <v>2739</v>
      </c>
      <c r="K136" s="5">
        <v>193.36</v>
      </c>
      <c r="L136" s="5">
        <f t="shared" si="13"/>
        <v>612.04</v>
      </c>
      <c r="M136" s="6">
        <f t="shared" si="14"/>
        <v>0.22345381526104416</v>
      </c>
    </row>
    <row r="137" spans="1:13">
      <c r="A137" s="3" t="s">
        <v>171</v>
      </c>
      <c r="B137" s="4">
        <v>46065</v>
      </c>
      <c r="C137" s="3" t="s">
        <v>14</v>
      </c>
      <c r="D137" s="3" t="s">
        <v>31</v>
      </c>
      <c r="E137" s="3" t="s">
        <v>43</v>
      </c>
      <c r="F137" s="3" t="s">
        <v>28</v>
      </c>
      <c r="G137" s="3" t="s">
        <v>24</v>
      </c>
      <c r="H137" s="3">
        <v>1</v>
      </c>
      <c r="I137" s="5">
        <v>75</v>
      </c>
      <c r="J137" s="5">
        <f t="shared" si="12"/>
        <v>75</v>
      </c>
      <c r="K137" s="5">
        <v>46.92</v>
      </c>
      <c r="L137" s="5">
        <f t="shared" si="13"/>
        <v>28.08</v>
      </c>
      <c r="M137" s="6">
        <f t="shared" si="14"/>
        <v>0.37439999999999996</v>
      </c>
    </row>
    <row r="138" spans="1:13">
      <c r="A138" s="3" t="s">
        <v>172</v>
      </c>
      <c r="B138" s="4">
        <v>46067</v>
      </c>
      <c r="C138" s="3" t="s">
        <v>14</v>
      </c>
      <c r="D138" s="3" t="s">
        <v>26</v>
      </c>
      <c r="E138" s="3" t="s">
        <v>27</v>
      </c>
      <c r="F138" s="3" t="s">
        <v>28</v>
      </c>
      <c r="G138" s="3" t="s">
        <v>18</v>
      </c>
      <c r="H138" s="3">
        <v>4</v>
      </c>
      <c r="I138" s="5">
        <v>249</v>
      </c>
      <c r="J138" s="5">
        <f t="shared" si="12"/>
        <v>996</v>
      </c>
      <c r="K138" s="5">
        <v>160.93</v>
      </c>
      <c r="L138" s="5">
        <f t="shared" si="13"/>
        <v>352.28</v>
      </c>
      <c r="M138" s="6">
        <f t="shared" si="14"/>
        <v>0.35369477911646585</v>
      </c>
    </row>
    <row r="139" spans="1:13">
      <c r="A139" s="3" t="s">
        <v>173</v>
      </c>
      <c r="B139" s="4">
        <v>46128</v>
      </c>
      <c r="C139" s="3" t="s">
        <v>30</v>
      </c>
      <c r="D139" s="3" t="s">
        <v>15</v>
      </c>
      <c r="E139" s="3" t="s">
        <v>50</v>
      </c>
      <c r="F139" s="3" t="s">
        <v>23</v>
      </c>
      <c r="G139" s="3" t="s">
        <v>24</v>
      </c>
      <c r="H139" s="3">
        <v>1</v>
      </c>
      <c r="I139" s="5">
        <v>399</v>
      </c>
      <c r="J139" s="5">
        <f t="shared" si="12"/>
        <v>399</v>
      </c>
      <c r="K139" s="5">
        <v>240.53</v>
      </c>
      <c r="L139" s="5">
        <f t="shared" si="13"/>
        <v>158.47</v>
      </c>
      <c r="M139" s="6">
        <f t="shared" si="14"/>
        <v>0.39716791979949873</v>
      </c>
    </row>
    <row r="140" spans="1:13">
      <c r="A140" s="3" t="s">
        <v>174</v>
      </c>
      <c r="B140" s="4">
        <v>46092</v>
      </c>
      <c r="C140" s="3" t="s">
        <v>38</v>
      </c>
      <c r="D140" s="3" t="s">
        <v>31</v>
      </c>
      <c r="E140" s="3" t="s">
        <v>43</v>
      </c>
      <c r="F140" s="3" t="s">
        <v>28</v>
      </c>
      <c r="G140" s="3" t="s">
        <v>36</v>
      </c>
      <c r="H140" s="3">
        <v>6</v>
      </c>
      <c r="I140" s="5">
        <v>399</v>
      </c>
      <c r="J140" s="5">
        <f t="shared" si="12"/>
        <v>2394</v>
      </c>
      <c r="K140" s="5">
        <v>222.71</v>
      </c>
      <c r="L140" s="5">
        <f t="shared" si="13"/>
        <v>1057.74</v>
      </c>
      <c r="M140" s="6">
        <f t="shared" si="14"/>
        <v>0.44182957393483707</v>
      </c>
    </row>
    <row r="141" spans="1:13">
      <c r="A141" s="3" t="s">
        <v>175</v>
      </c>
      <c r="B141" s="4">
        <v>46075</v>
      </c>
      <c r="C141" s="3" t="s">
        <v>14</v>
      </c>
      <c r="D141" s="3" t="s">
        <v>15</v>
      </c>
      <c r="E141" s="3" t="s">
        <v>40</v>
      </c>
      <c r="F141" s="3" t="s">
        <v>17</v>
      </c>
      <c r="G141" s="3" t="s">
        <v>24</v>
      </c>
      <c r="H141" s="3">
        <v>7</v>
      </c>
      <c r="I141" s="5">
        <v>49</v>
      </c>
      <c r="J141" s="5">
        <f t="shared" si="12"/>
        <v>343</v>
      </c>
      <c r="K141" s="5">
        <v>33.090000000000003</v>
      </c>
      <c r="L141" s="5">
        <f t="shared" si="13"/>
        <v>111.36999999999998</v>
      </c>
      <c r="M141" s="6">
        <f t="shared" si="14"/>
        <v>0.32469387755102036</v>
      </c>
    </row>
    <row r="142" spans="1:13">
      <c r="A142" s="3" t="s">
        <v>176</v>
      </c>
      <c r="B142" s="4">
        <v>46125</v>
      </c>
      <c r="C142" s="3" t="s">
        <v>30</v>
      </c>
      <c r="D142" s="3" t="s">
        <v>39</v>
      </c>
      <c r="E142" s="3" t="s">
        <v>34</v>
      </c>
      <c r="F142" s="3" t="s">
        <v>17</v>
      </c>
      <c r="G142" s="3" t="s">
        <v>24</v>
      </c>
      <c r="H142" s="3">
        <v>12</v>
      </c>
      <c r="I142" s="5">
        <v>75</v>
      </c>
      <c r="J142" s="5">
        <f t="shared" si="12"/>
        <v>900</v>
      </c>
      <c r="K142" s="5">
        <v>59.45</v>
      </c>
      <c r="L142" s="5">
        <f t="shared" si="13"/>
        <v>186.59999999999991</v>
      </c>
      <c r="M142" s="6">
        <f t="shared" si="14"/>
        <v>0.20733333333333323</v>
      </c>
    </row>
    <row r="143" spans="1:13">
      <c r="A143" s="3" t="s">
        <v>177</v>
      </c>
      <c r="B143" s="4">
        <v>46066</v>
      </c>
      <c r="C143" s="3" t="s">
        <v>14</v>
      </c>
      <c r="D143" s="3" t="s">
        <v>39</v>
      </c>
      <c r="E143" s="3" t="s">
        <v>22</v>
      </c>
      <c r="F143" s="3" t="s">
        <v>23</v>
      </c>
      <c r="G143" s="3" t="s">
        <v>36</v>
      </c>
      <c r="H143" s="3">
        <v>10</v>
      </c>
      <c r="I143" s="5">
        <v>49</v>
      </c>
      <c r="J143" s="5">
        <f t="shared" si="12"/>
        <v>490</v>
      </c>
      <c r="K143" s="5">
        <v>30.42</v>
      </c>
      <c r="L143" s="5">
        <f t="shared" si="13"/>
        <v>185.79999999999995</v>
      </c>
      <c r="M143" s="6">
        <f t="shared" si="14"/>
        <v>0.37918367346938764</v>
      </c>
    </row>
    <row r="144" spans="1:13">
      <c r="A144" s="3" t="s">
        <v>178</v>
      </c>
      <c r="B144" s="4">
        <v>46114</v>
      </c>
      <c r="C144" s="3" t="s">
        <v>30</v>
      </c>
      <c r="D144" s="3" t="s">
        <v>39</v>
      </c>
      <c r="E144" s="3" t="s">
        <v>22</v>
      </c>
      <c r="F144" s="3" t="s">
        <v>23</v>
      </c>
      <c r="G144" s="3" t="s">
        <v>36</v>
      </c>
      <c r="H144" s="3">
        <v>1</v>
      </c>
      <c r="I144" s="5">
        <v>75</v>
      </c>
      <c r="J144" s="5">
        <f t="shared" si="12"/>
        <v>75</v>
      </c>
      <c r="K144" s="5">
        <v>41.74</v>
      </c>
      <c r="L144" s="5">
        <f t="shared" si="13"/>
        <v>33.26</v>
      </c>
      <c r="M144" s="6">
        <f t="shared" si="14"/>
        <v>0.44346666666666662</v>
      </c>
    </row>
    <row r="145" spans="1:13">
      <c r="A145" s="3" t="s">
        <v>179</v>
      </c>
      <c r="B145" s="4">
        <v>46052</v>
      </c>
      <c r="C145" s="3" t="s">
        <v>20</v>
      </c>
      <c r="D145" s="3" t="s">
        <v>15</v>
      </c>
      <c r="E145" s="3" t="s">
        <v>32</v>
      </c>
      <c r="F145" s="3" t="s">
        <v>17</v>
      </c>
      <c r="G145" s="3" t="s">
        <v>18</v>
      </c>
      <c r="H145" s="3">
        <v>8</v>
      </c>
      <c r="I145" s="5">
        <v>249</v>
      </c>
      <c r="J145" s="5">
        <f t="shared" si="12"/>
        <v>1992</v>
      </c>
      <c r="K145" s="5">
        <v>190.05</v>
      </c>
      <c r="L145" s="5">
        <f t="shared" si="13"/>
        <v>471.59999999999991</v>
      </c>
      <c r="M145" s="6">
        <f t="shared" si="14"/>
        <v>0.23674698795180718</v>
      </c>
    </row>
    <row r="146" spans="1:13">
      <c r="A146" s="3" t="s">
        <v>180</v>
      </c>
      <c r="B146" s="4">
        <v>46139</v>
      </c>
      <c r="C146" s="3" t="s">
        <v>30</v>
      </c>
      <c r="D146" s="3" t="s">
        <v>15</v>
      </c>
      <c r="E146" s="3" t="s">
        <v>27</v>
      </c>
      <c r="F146" s="3" t="s">
        <v>28</v>
      </c>
      <c r="G146" s="3" t="s">
        <v>24</v>
      </c>
      <c r="H146" s="3">
        <v>8</v>
      </c>
      <c r="I146" s="5">
        <v>99</v>
      </c>
      <c r="J146" s="5">
        <f t="shared" si="12"/>
        <v>792</v>
      </c>
      <c r="K146" s="5">
        <v>54.68</v>
      </c>
      <c r="L146" s="5">
        <f t="shared" si="13"/>
        <v>354.56</v>
      </c>
      <c r="M146" s="6">
        <f t="shared" si="14"/>
        <v>0.44767676767676767</v>
      </c>
    </row>
    <row r="147" spans="1:13">
      <c r="A147" s="3" t="s">
        <v>181</v>
      </c>
      <c r="B147" s="4">
        <v>46142</v>
      </c>
      <c r="C147" s="3" t="s">
        <v>30</v>
      </c>
      <c r="D147" s="3" t="s">
        <v>31</v>
      </c>
      <c r="E147" s="3" t="s">
        <v>50</v>
      </c>
      <c r="F147" s="3" t="s">
        <v>23</v>
      </c>
      <c r="G147" s="3" t="s">
        <v>18</v>
      </c>
      <c r="H147" s="3">
        <v>4</v>
      </c>
      <c r="I147" s="5">
        <v>199</v>
      </c>
      <c r="J147" s="5">
        <f t="shared" si="12"/>
        <v>796</v>
      </c>
      <c r="K147" s="5">
        <v>155.72</v>
      </c>
      <c r="L147" s="5">
        <f t="shared" si="13"/>
        <v>173.12</v>
      </c>
      <c r="M147" s="6">
        <f t="shared" si="14"/>
        <v>0.21748743718592967</v>
      </c>
    </row>
    <row r="148" spans="1:13">
      <c r="A148" s="3" t="s">
        <v>182</v>
      </c>
      <c r="B148" s="4">
        <v>46081</v>
      </c>
      <c r="C148" s="3" t="s">
        <v>14</v>
      </c>
      <c r="D148" s="3" t="s">
        <v>21</v>
      </c>
      <c r="E148" s="3" t="s">
        <v>22</v>
      </c>
      <c r="F148" s="3" t="s">
        <v>23</v>
      </c>
      <c r="G148" s="3" t="s">
        <v>24</v>
      </c>
      <c r="H148" s="3">
        <v>9</v>
      </c>
      <c r="I148" s="5">
        <v>129</v>
      </c>
      <c r="J148" s="5">
        <f t="shared" si="12"/>
        <v>1161</v>
      </c>
      <c r="K148" s="5">
        <v>84.59</v>
      </c>
      <c r="L148" s="5">
        <f t="shared" si="13"/>
        <v>399.68999999999994</v>
      </c>
      <c r="M148" s="6">
        <f t="shared" si="14"/>
        <v>0.34426356589147283</v>
      </c>
    </row>
    <row r="149" spans="1:13">
      <c r="A149" s="3" t="s">
        <v>183</v>
      </c>
      <c r="B149" s="4">
        <v>46043</v>
      </c>
      <c r="C149" s="3" t="s">
        <v>20</v>
      </c>
      <c r="D149" s="3" t="s">
        <v>15</v>
      </c>
      <c r="E149" s="3" t="s">
        <v>40</v>
      </c>
      <c r="F149" s="3" t="s">
        <v>17</v>
      </c>
      <c r="G149" s="3" t="s">
        <v>24</v>
      </c>
      <c r="H149" s="3">
        <v>11</v>
      </c>
      <c r="I149" s="5">
        <v>49</v>
      </c>
      <c r="J149" s="5">
        <f t="shared" si="12"/>
        <v>539</v>
      </c>
      <c r="K149" s="5">
        <v>33.32</v>
      </c>
      <c r="L149" s="5">
        <f t="shared" si="13"/>
        <v>172.48000000000002</v>
      </c>
      <c r="M149" s="6">
        <f t="shared" si="14"/>
        <v>0.32</v>
      </c>
    </row>
    <row r="150" spans="1:13">
      <c r="A150" s="3" t="s">
        <v>184</v>
      </c>
      <c r="B150" s="4">
        <v>46092</v>
      </c>
      <c r="C150" s="3" t="s">
        <v>38</v>
      </c>
      <c r="D150" s="3" t="s">
        <v>31</v>
      </c>
      <c r="E150" s="3" t="s">
        <v>22</v>
      </c>
      <c r="F150" s="3" t="s">
        <v>23</v>
      </c>
      <c r="G150" s="3" t="s">
        <v>36</v>
      </c>
      <c r="H150" s="3">
        <v>2</v>
      </c>
      <c r="I150" s="5">
        <v>75</v>
      </c>
      <c r="J150" s="5">
        <f t="shared" si="12"/>
        <v>150</v>
      </c>
      <c r="K150" s="5">
        <v>46.61</v>
      </c>
      <c r="L150" s="5">
        <f t="shared" si="13"/>
        <v>56.78</v>
      </c>
      <c r="M150" s="6">
        <f t="shared" si="14"/>
        <v>0.37853333333333333</v>
      </c>
    </row>
    <row r="151" spans="1:13">
      <c r="A151" s="3" t="s">
        <v>185</v>
      </c>
      <c r="B151" s="4">
        <v>46033</v>
      </c>
      <c r="C151" s="3" t="s">
        <v>20</v>
      </c>
      <c r="D151" s="3" t="s">
        <v>26</v>
      </c>
      <c r="E151" s="3" t="s">
        <v>40</v>
      </c>
      <c r="F151" s="3" t="s">
        <v>17</v>
      </c>
      <c r="G151" s="3" t="s">
        <v>36</v>
      </c>
      <c r="H151" s="3">
        <v>8</v>
      </c>
      <c r="I151" s="5">
        <v>399</v>
      </c>
      <c r="J151" s="5">
        <f t="shared" si="12"/>
        <v>3192</v>
      </c>
      <c r="K151" s="5">
        <v>238.11</v>
      </c>
      <c r="L151" s="5">
        <f t="shared" si="13"/>
        <v>1287.1199999999999</v>
      </c>
      <c r="M151" s="6">
        <f t="shared" si="14"/>
        <v>0.40323308270676689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5B9C-6B0C-4117-88F6-6AB26487CA62}">
  <dimension ref="A1:G20"/>
  <sheetViews>
    <sheetView tabSelected="1" workbookViewId="0">
      <selection sqref="A1:G1"/>
    </sheetView>
  </sheetViews>
  <sheetFormatPr defaultRowHeight="14.25"/>
  <cols>
    <col min="1" max="1" width="13.125" bestFit="1" customWidth="1"/>
    <col min="2" max="2" width="12.375" bestFit="1" customWidth="1"/>
    <col min="5" max="5" width="13.125" bestFit="1" customWidth="1"/>
    <col min="6" max="6" width="12.375" bestFit="1" customWidth="1"/>
  </cols>
  <sheetData>
    <row r="1" spans="1:7" ht="36" customHeight="1">
      <c r="A1" s="11" t="s">
        <v>194</v>
      </c>
      <c r="B1" s="11"/>
      <c r="C1" s="11"/>
      <c r="D1" s="11"/>
      <c r="E1" s="11"/>
      <c r="F1" s="11"/>
      <c r="G1" s="11"/>
    </row>
    <row r="3" spans="1:7">
      <c r="A3" s="8" t="s">
        <v>191</v>
      </c>
      <c r="B3" t="s">
        <v>193</v>
      </c>
    </row>
    <row r="4" spans="1:7">
      <c r="A4" s="9" t="s">
        <v>43</v>
      </c>
      <c r="B4" s="10">
        <v>23546</v>
      </c>
      <c r="E4" s="8" t="s">
        <v>191</v>
      </c>
      <c r="F4" t="s">
        <v>193</v>
      </c>
    </row>
    <row r="5" spans="1:7">
      <c r="A5" s="9" t="s">
        <v>22</v>
      </c>
      <c r="B5" s="10">
        <v>26169</v>
      </c>
      <c r="E5" s="9" t="s">
        <v>20</v>
      </c>
      <c r="F5" s="10">
        <v>55034</v>
      </c>
    </row>
    <row r="6" spans="1:7">
      <c r="A6" s="9" t="s">
        <v>16</v>
      </c>
      <c r="B6" s="10">
        <v>27613</v>
      </c>
      <c r="E6" s="9" t="s">
        <v>14</v>
      </c>
      <c r="F6" s="10">
        <v>35234</v>
      </c>
    </row>
    <row r="7" spans="1:7">
      <c r="A7" s="9" t="s">
        <v>34</v>
      </c>
      <c r="B7" s="10">
        <v>13125</v>
      </c>
      <c r="E7" s="9" t="s">
        <v>38</v>
      </c>
      <c r="F7" s="10">
        <v>48710</v>
      </c>
    </row>
    <row r="8" spans="1:7">
      <c r="A8" s="9" t="s">
        <v>50</v>
      </c>
      <c r="B8" s="10">
        <v>22963</v>
      </c>
      <c r="E8" s="9" t="s">
        <v>30</v>
      </c>
      <c r="F8" s="10">
        <v>48573</v>
      </c>
    </row>
    <row r="9" spans="1:7">
      <c r="A9" s="9" t="s">
        <v>27</v>
      </c>
      <c r="B9" s="10">
        <v>17015</v>
      </c>
      <c r="E9" s="9" t="s">
        <v>192</v>
      </c>
      <c r="F9" s="10">
        <v>187551</v>
      </c>
    </row>
    <row r="10" spans="1:7">
      <c r="A10" s="9" t="s">
        <v>40</v>
      </c>
      <c r="B10" s="10">
        <v>26578</v>
      </c>
    </row>
    <row r="11" spans="1:7">
      <c r="A11" s="9" t="s">
        <v>32</v>
      </c>
      <c r="B11" s="10">
        <v>30542</v>
      </c>
    </row>
    <row r="12" spans="1:7">
      <c r="A12" s="9" t="s">
        <v>192</v>
      </c>
      <c r="B12" s="10">
        <v>187551</v>
      </c>
    </row>
    <row r="14" spans="1:7">
      <c r="A14" s="8" t="s">
        <v>191</v>
      </c>
      <c r="B14" t="s">
        <v>193</v>
      </c>
    </row>
    <row r="15" spans="1:7">
      <c r="A15" s="9" t="s">
        <v>39</v>
      </c>
      <c r="B15" s="10">
        <v>30449</v>
      </c>
    </row>
    <row r="16" spans="1:7">
      <c r="A16" s="9" t="s">
        <v>31</v>
      </c>
      <c r="B16" s="10">
        <v>21059</v>
      </c>
    </row>
    <row r="17" spans="1:2">
      <c r="A17" s="9" t="s">
        <v>21</v>
      </c>
      <c r="B17" s="10">
        <v>42119</v>
      </c>
    </row>
    <row r="18" spans="1:2">
      <c r="A18" s="9" t="s">
        <v>15</v>
      </c>
      <c r="B18" s="10">
        <v>51221</v>
      </c>
    </row>
    <row r="19" spans="1:2">
      <c r="A19" s="9" t="s">
        <v>26</v>
      </c>
      <c r="B19" s="10">
        <v>42703</v>
      </c>
    </row>
    <row r="20" spans="1:2">
      <c r="A20" s="9" t="s">
        <v>192</v>
      </c>
      <c r="B20" s="10">
        <v>187551</v>
      </c>
    </row>
  </sheetData>
  <mergeCells count="1">
    <mergeCell ref="A1:G1"/>
  </mergeCells>
  <pageMargins left="0.7" right="0.7" top="0.75" bottom="0.75" header="0.3" footer="0.3"/>
  <pageSetup orientation="portrait" horizontalDpi="1200" verticalDpi="120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defaultRowHeight="14.25"/>
  <cols>
    <col min="1" max="1" width="22.125" customWidth="1"/>
    <col min="2" max="2" width="8.875" bestFit="1" customWidth="1"/>
    <col min="3" max="3" width="21.75" customWidth="1"/>
    <col min="4" max="4" width="12.75" customWidth="1"/>
    <col min="5" max="5" width="27.75" customWidth="1"/>
    <col min="7" max="7" width="53.75" customWidth="1"/>
    <col min="8" max="8" width="8.875" bestFit="1" customWidth="1"/>
  </cols>
  <sheetData>
    <row r="1" spans="1:8" ht="30" customHeight="1">
      <c r="A1" s="12" t="s">
        <v>186</v>
      </c>
      <c r="B1" s="13"/>
      <c r="C1" s="13"/>
      <c r="D1" s="13"/>
      <c r="E1" s="13"/>
      <c r="F1" s="13"/>
      <c r="G1" s="13"/>
      <c r="H1" s="13"/>
    </row>
    <row r="3" spans="1:8" ht="45" customHeight="1">
      <c r="A3" s="14" t="s">
        <v>187</v>
      </c>
      <c r="B3" s="13"/>
      <c r="C3" s="14" t="s">
        <v>188</v>
      </c>
      <c r="D3" s="13"/>
      <c r="E3" s="14" t="s">
        <v>189</v>
      </c>
      <c r="F3" s="13"/>
      <c r="G3" s="14" t="s">
        <v>190</v>
      </c>
      <c r="H3" s="13"/>
    </row>
    <row r="4" spans="1:8">
      <c r="A4" s="13"/>
      <c r="B4" s="13"/>
      <c r="C4" s="13"/>
      <c r="D4" s="13"/>
      <c r="E4" s="13"/>
      <c r="F4" s="13"/>
      <c r="G4" s="13"/>
      <c r="H4" s="13"/>
    </row>
    <row r="5" spans="1:8">
      <c r="A5" s="13"/>
      <c r="B5" s="13"/>
      <c r="C5" s="13"/>
      <c r="D5" s="13"/>
      <c r="E5" s="13"/>
      <c r="F5" s="13"/>
      <c r="G5" s="13"/>
      <c r="H5" s="13"/>
    </row>
    <row r="8" spans="1:8" ht="15">
      <c r="A8" s="1" t="s">
        <v>3</v>
      </c>
      <c r="B8" s="1" t="s">
        <v>9</v>
      </c>
      <c r="D8" s="1" t="s">
        <v>4</v>
      </c>
      <c r="E8" s="1" t="s">
        <v>9</v>
      </c>
      <c r="G8" s="1" t="s">
        <v>2</v>
      </c>
      <c r="H8" s="1" t="s">
        <v>9</v>
      </c>
    </row>
    <row r="9" spans="1:8">
      <c r="A9" t="s">
        <v>26</v>
      </c>
      <c r="B9" s="7">
        <f>SUMIFS(SalesData[Sales],SalesData[City],A9)</f>
        <v>42703</v>
      </c>
      <c r="D9" t="s">
        <v>34</v>
      </c>
      <c r="E9" s="7">
        <f>SUMIFS(SalesData[Sales],SalesData[Product],D9)</f>
        <v>13125</v>
      </c>
      <c r="G9" t="s">
        <v>20</v>
      </c>
      <c r="H9" s="7">
        <f>SUMIFS(SalesData[Sales],SalesData[Month],G9)</f>
        <v>55034</v>
      </c>
    </row>
    <row r="10" spans="1:8">
      <c r="A10" t="s">
        <v>31</v>
      </c>
      <c r="B10" s="7">
        <f>SUMIFS(SalesData[Sales],SalesData[City],A10)</f>
        <v>21059</v>
      </c>
      <c r="D10" t="s">
        <v>32</v>
      </c>
      <c r="E10" s="7">
        <f>SUMIFS(SalesData[Sales],SalesData[Product],D10)</f>
        <v>30542</v>
      </c>
      <c r="G10" t="s">
        <v>14</v>
      </c>
      <c r="H10" s="7">
        <f>SUMIFS(SalesData[Sales],SalesData[Month],G10)</f>
        <v>35234</v>
      </c>
    </row>
    <row r="11" spans="1:8">
      <c r="A11" t="s">
        <v>39</v>
      </c>
      <c r="B11" s="7">
        <f>SUMIFS(SalesData[Sales],SalesData[City],A11)</f>
        <v>30449</v>
      </c>
      <c r="D11" t="s">
        <v>16</v>
      </c>
      <c r="E11" s="7">
        <f>SUMIFS(SalesData[Sales],SalesData[Product],D11)</f>
        <v>27613</v>
      </c>
      <c r="G11" t="s">
        <v>38</v>
      </c>
      <c r="H11" s="7">
        <f>SUMIFS(SalesData[Sales],SalesData[Month],G11)</f>
        <v>48710</v>
      </c>
    </row>
    <row r="12" spans="1:8">
      <c r="A12" t="s">
        <v>15</v>
      </c>
      <c r="B12" s="7">
        <f>SUMIFS(SalesData[Sales],SalesData[City],A12)</f>
        <v>51221</v>
      </c>
      <c r="D12" t="s">
        <v>40</v>
      </c>
      <c r="E12" s="7">
        <f>SUMIFS(SalesData[Sales],SalesData[Product],D12)</f>
        <v>26578</v>
      </c>
      <c r="G12" t="s">
        <v>30</v>
      </c>
      <c r="H12" s="7">
        <f>SUMIFS(SalesData[Sales],SalesData[Month],G12)</f>
        <v>48573</v>
      </c>
    </row>
    <row r="13" spans="1:8">
      <c r="A13" t="s">
        <v>21</v>
      </c>
      <c r="B13" s="7">
        <f>SUMIFS(SalesData[Sales],SalesData[City],A13)</f>
        <v>42119</v>
      </c>
      <c r="D13" t="s">
        <v>50</v>
      </c>
      <c r="E13" s="7">
        <f>SUMIFS(SalesData[Sales],SalesData[Product],D13)</f>
        <v>22963</v>
      </c>
    </row>
    <row r="14" spans="1:8">
      <c r="D14" t="s">
        <v>22</v>
      </c>
      <c r="E14" s="7">
        <f>SUMIFS(SalesData[Sales],SalesData[Product],D14)</f>
        <v>26169</v>
      </c>
    </row>
    <row r="15" spans="1:8">
      <c r="D15" t="s">
        <v>27</v>
      </c>
      <c r="E15" s="7">
        <f>SUMIFS(SalesData[Sales],SalesData[Product],D15)</f>
        <v>17015</v>
      </c>
    </row>
    <row r="16" spans="1:8">
      <c r="D16" t="s">
        <v>43</v>
      </c>
      <c r="E16" s="7">
        <f>SUMIFS(SalesData[Sales],SalesData[Product],D16)</f>
        <v>23546</v>
      </c>
    </row>
  </sheetData>
  <mergeCells count="5">
    <mergeCell ref="A1:H1"/>
    <mergeCell ref="A3:B5"/>
    <mergeCell ref="C3:D5"/>
    <mergeCell ref="E3:F5"/>
    <mergeCell ref="G3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Excel Report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سالم الدوسري</cp:lastModifiedBy>
  <dcterms:created xsi:type="dcterms:W3CDTF">2026-05-13T12:53:16Z</dcterms:created>
  <dcterms:modified xsi:type="dcterms:W3CDTF">2026-06-17T15:23:18Z</dcterms:modified>
</cp:coreProperties>
</file>